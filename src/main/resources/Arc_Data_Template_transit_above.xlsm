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ed\leedperformance\AutomationTesting\TestArcAPI\src\main\resources\"/>
    </mc:Choice>
  </mc:AlternateContent>
  <workbookProtection workbookAlgorithmName="SHA-512" workbookHashValue="juuOMq9BAvCMfiq7OeYYMXwtTbbiJLtqJ557w0vR6TcB1z4Emi5Zg4vxC8UlBH3Ktnc2MG4TUZToAMvttjY1ZA==" workbookSaltValue="Wm4l5HiiYzNSOZ0Rsfh/Uw==" workbookSpinCount="100000" lockStructure="1"/>
  <bookViews>
    <workbookView xWindow="0" yWindow="0" windowWidth="20490" windowHeight="7530" firstSheet="5" activeTab="7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FileUploadTestMeter" sheetId="25" r:id="rId14"/>
    <sheet name="UploadWaterMeterTest" sheetId="26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EnergyFileUploadTestMeter!$G$26:$G$30</definedName>
    <definedName name="elecName">base_e!$G$15:$G$19</definedName>
    <definedName name="ElectricityDrp" localSheetId="13">EnergyFileUploadTestMeter!$J$20:$J$21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Setup!$L$275:$L$301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Stream'!$I$23:$I$25</definedName>
    <definedName name="Other_Fuels_Drp">base_f!$V$10</definedName>
    <definedName name="Period__Start_Date" localSheetId="14">COUNTIF(UploadWaterMeterTest!$B:$B,UploadWaterMeterTest!A1)=1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Setup!$L$304:$L$322</definedName>
    <definedName name="water_meter_type" localSheetId="14">UploadWaterMeterTest!$H$38:$I$50</definedName>
    <definedName name="water_meter_type">base_w!$H$27:$I$39</definedName>
    <definedName name="water_type" localSheetId="14">UploadWaterMeterTest!$H$38:$I$50</definedName>
    <definedName name="water_type">base_w!$H$27:$I$39</definedName>
    <definedName name="water_units" localSheetId="14">UploadWaterMeterTest!$H$26:$H$34</definedName>
    <definedName name="water_units">base_w!$H$15:$H$23</definedName>
    <definedName name="WaterDrp" localSheetId="14">UploadWaterMeterTest!$I$20:$I$22</definedName>
    <definedName name="WaterDrp">base_w!$I$9:$I$11</definedName>
    <definedName name="waterType" localSheetId="14">UploadWaterMeterTest!$H$38:$H$50</definedName>
    <definedName name="waterType">base_w!$H$27:$H$39</definedName>
    <definedName name="waterUnits" localSheetId="14">UploadWaterMeterTest!$J$21:$J$25</definedName>
    <definedName name="waterUnits">base_w!$J$10:$J$14</definedName>
    <definedName name="watUn" localSheetId="14">UploadWaterMeterTest!$H$26:$H$34</definedName>
    <definedName name="watUn">base_w!$H$15:$H$23</definedName>
    <definedName name="watUni" localSheetId="14">UploadWaterMeterTest!$H$26:$H$40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14">UploadWaterMeterTest!$J$19</definedName>
    <definedName name="zep">base_w!$J$8</definedName>
  </definedNames>
  <calcPr calcId="152511"/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D5" i="23" l="1"/>
  <c r="L20" i="1" l="1"/>
  <c r="L18" i="1"/>
  <c r="L17" i="1"/>
  <c r="F21" i="1" l="1"/>
  <c r="D6" i="22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<sst xmlns="http://schemas.openxmlformats.org/spreadsheetml/2006/main" count="1053" uniqueCount="678">
  <si>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</si>
  <si>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</si>
  <si>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</si>
  <si>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</si>
  <si>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</si>
  <si>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</si>
  <si>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</si>
  <si>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</si>
  <si>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</si>
  <si>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</si>
  <si>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</si>
  <si>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</si>
  <si>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</si>
  <si>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</si>
  <si>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</si>
  <si>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</si>
  <si>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</si>
  <si>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</si>
  <si>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</si>
  <si>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</si>
  <si>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</si>
  <si>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</si>
  <si>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</si>
  <si>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</si>
  <si>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</si>
  <si>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</si>
  <si>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</si>
  <si>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</si>
  <si>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</si>
  <si>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</si>
  <si>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</si>
  <si>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</si>
  <si>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</si>
  <si>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</si>
  <si>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</si>
  <si>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</si>
  <si>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</si>
  <si>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</si>
  <si>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</si>
  <si>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</si>
  <si>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</si>
  <si>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</si>
  <si>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</si>
  <si>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</si>
  <si>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</si>
  <si>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</si>
  <si>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</si>
  <si>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</si>
  <si>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</si>
  <si>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</si>
  <si>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</si>
  <si>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</si>
  <si>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</si>
  <si>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</si>
  <si>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</si>
  <si>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</si>
  <si>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</si>
  <si>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</si>
  <si>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</si>
  <si>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</si>
  <si>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</si>
  <si>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</si>
  <si>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</si>
  <si>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</si>
  <si>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</si>
  <si>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</si>
  <si>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</si>
  <si>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</si>
  <si>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</si>
  <si>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</si>
  <si>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</si>
  <si>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</si>
  <si>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</si>
  <si>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</si>
  <si>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</si>
  <si>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</si>
  <si>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</si>
  <si>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</si>
  <si>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</si>
  <si>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</si>
  <si>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</si>
  <si>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</si>
  <si>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</si>
  <si>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</si>
  <si>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</si>
  <si>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</si>
  <si>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</si>
  <si>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</si>
  <si>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</si>
  <si>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</si>
  <si>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</si>
  <si>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</si>
  <si>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</si>
  <si>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</si>
  <si>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</si>
  <si>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</si>
  <si>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</si>
  <si>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</si>
  <si>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</si>
  <si>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</si>
  <si>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</si>
  <si>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</si>
  <si>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</si>
  <si>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</si>
  <si>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</si>
  <si>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</si>
  <si>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</si>
  <si>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</si>
  <si>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</si>
  <si>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</si>
  <si>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</si>
  <si>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</si>
  <si>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</si>
  <si>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</si>
  <si>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</si>
  <si>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</si>
  <si>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</si>
  <si>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</si>
  <si>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</si>
  <si>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</si>
  <si>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</si>
  <si>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</si>
  <si>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</si>
  <si>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</si>
  <si>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</si>
  <si>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</si>
  <si>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</si>
  <si>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</si>
  <si>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</si>
  <si>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</si>
  <si>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</si>
  <si>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</si>
  <si>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</si>
  <si>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</si>
  <si>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</si>
  <si>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</si>
  <si>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</si>
  <si>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</si>
  <si>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</si>
  <si>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</si>
  <si>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</si>
  <si>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</si>
  <si>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</si>
  <si>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</si>
  <si>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</si>
  <si>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</si>
  <si>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</si>
  <si>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</si>
  <si>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</si>
  <si>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</si>
  <si>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</si>
  <si>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</si>
  <si>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</si>
  <si>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</si>
  <si>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</si>
  <si>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</si>
  <si>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</si>
  <si>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</si>
  <si>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</si>
  <si>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</si>
  <si>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</si>
  <si>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</si>
  <si>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</si>
  <si>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</si>
  <si>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</si>
  <si>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</si>
  <si>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</si>
  <si>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</si>
  <si>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</si>
  <si>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</si>
  <si>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</si>
  <si>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</si>
  <si>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</si>
  <si>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</si>
  <si>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</si>
  <si>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</si>
  <si>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</si>
  <si>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</si>
  <si>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</si>
  <si>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</si>
  <si>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</si>
  <si>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</si>
  <si>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</si>
  <si>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</si>
  <si>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</si>
  <si>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</si>
  <si>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</si>
  <si>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</si>
  <si>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</si>
  <si>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</si>
  <si>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</si>
  <si>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</si>
  <si>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</si>
  <si>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</si>
  <si>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</si>
  <si>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</si>
  <si>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</si>
  <si>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</si>
  <si>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</si>
  <si>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</si>
  <si>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</si>
  <si>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</si>
  <si>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</si>
  <si>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</si>
  <si>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</si>
  <si>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</si>
  <si>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</si>
  <si>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</si>
  <si>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</si>
  <si>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</si>
  <si>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</si>
  <si>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</si>
  <si>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</si>
  <si>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</si>
  <si>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</si>
  <si>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</si>
  <si>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</si>
  <si>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</si>
  <si>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</si>
  <si>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</si>
  <si>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</si>
  <si>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</si>
  <si>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</si>
  <si>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</si>
  <si>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</si>
  <si>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</si>
  <si>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</si>
  <si>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</si>
  <si>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</si>
  <si>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</si>
  <si>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</si>
  <si>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</si>
  <si>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</si>
  <si>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</si>
  <si>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</si>
  <si>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</si>
  <si>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</si>
  <si>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</si>
  <si>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</si>
  <si>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</si>
  <si>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</si>
  <si>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</si>
  <si>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</si>
  <si>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</si>
  <si>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</si>
  <si>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</si>
  <si>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</si>
  <si>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</si>
  <si>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</si>
  <si>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</si>
  <si>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</si>
  <si>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</si>
  <si>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</si>
  <si>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</si>
  <si>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</si>
  <si>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</si>
  <si>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</si>
  <si>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</si>
  <si>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</si>
  <si>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</si>
  <si>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</si>
  <si>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</si>
  <si>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</si>
  <si>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</si>
  <si>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</si>
  <si>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</si>
  <si>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</si>
  <si>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</si>
  <si>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</si>
  <si>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</si>
  <si>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</si>
  <si>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</si>
  <si>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</si>
  <si>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</si>
  <si>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</si>
  <si>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</si>
  <si>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</si>
  <si>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</si>
  <si>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</si>
  <si>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</si>
  <si>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</si>
  <si>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</si>
  <si>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</si>
  <si>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</si>
  <si>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</si>
  <si>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</si>
  <si>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</si>
  <si>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</si>
  <si>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</si>
  <si>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</si>
  <si>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</si>
  <si>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</si>
  <si>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</si>
  <si>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</si>
  <si>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</si>
  <si>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</si>
  <si>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</si>
  <si>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</si>
  <si>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</si>
  <si>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</si>
  <si>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</si>
  <si>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</si>
  <si>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</si>
  <si>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</si>
  <si>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</si>
  <si>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</si>
  <si>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</si>
  <si>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</si>
  <si>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</si>
  <si>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</si>
  <si>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</si>
  <si>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</si>
  <si>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</si>
  <si>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</si>
  <si>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</si>
  <si>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</si>
  <si>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</si>
  <si>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</si>
  <si>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</si>
  <si>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</si>
  <si>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</si>
  <si>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</si>
  <si>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</si>
  <si>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</si>
  <si>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</si>
  <si>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</si>
  <si>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</si>
  <si>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</si>
  <si>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</si>
  <si>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</si>
  <si>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</si>
  <si>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</si>
  <si>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</si>
  <si>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</si>
  <si>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</si>
  <si>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</si>
  <si>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</si>
  <si>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</si>
  <si>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</si>
  <si>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</si>
  <si>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</si>
  <si>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</si>
  <si>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</si>
  <si>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</si>
  <si>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</si>
  <si>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</si>
  <si>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</si>
  <si>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</si>
  <si>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</si>
  <si>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</si>
  <si>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</si>
  <si>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</si>
  <si>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</si>
  <si>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</si>
  <si>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</si>
  <si>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</si>
  <si>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</si>
  <si>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</si>
  <si>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</si>
  <si>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</si>
  <si>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</si>
  <si>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</si>
  <si>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</si>
  <si>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</si>
  <si>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</si>
  <si>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</si>
  <si>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</si>
  <si>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</si>
  <si>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</si>
  <si>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</si>
  <si>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</si>
  <si>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</si>
  <si>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</si>
  <si>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</si>
  <si>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</si>
  <si>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</si>
  <si>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</si>
  <si>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</si>
  <si>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</si>
  <si>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</si>
  <si>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</si>
  <si>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</si>
  <si>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</si>
  <si>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</si>
  <si>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</si>
  <si>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</si>
  <si>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</si>
  <si>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</si>
  <si>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</si>
  <si>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</si>
  <si>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</si>
  <si>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</si>
  <si>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</si>
  <si>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</si>
  <si>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</si>
  <si>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</si>
  <si>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</si>
  <si>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</si>
  <si>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</si>
  <si>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</si>
  <si>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</si>
  <si>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</si>
  <si>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</si>
  <si>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</si>
  <si>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</si>
  <si>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</si>
  <si>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</si>
  <si>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</si>
  <si>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</si>
  <si>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</si>
  <si>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</si>
  <si>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</si>
  <si>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</si>
  <si>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</si>
  <si>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</si>
  <si>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</si>
  <si>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</si>
  <si>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</si>
  <si>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</si>
  <si>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</si>
  <si>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</si>
  <si>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</si>
  <si>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</si>
  <si>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</si>
  <si>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</si>
  <si>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</si>
  <si>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</si>
  <si>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</si>
  <si>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</si>
  <si>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</si>
  <si>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</si>
  <si>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</si>
  <si>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</si>
  <si>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</si>
  <si>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</si>
  <si>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</si>
  <si>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</si>
  <si>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</si>
  <si>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</si>
  <si>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</si>
  <si>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</si>
  <si>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</si>
  <si>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</si>
  <si>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</si>
  <si>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</si>
  <si>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</si>
  <si>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</si>
  <si>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</si>
  <si>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</si>
  <si>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</si>
  <si>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</si>
  <si>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</si>
  <si>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</si>
  <si>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</si>
  <si>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</si>
  <si>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</si>
  <si>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</si>
  <si>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</si>
  <si>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</si>
  <si>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</si>
  <si>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</si>
  <si>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</si>
  <si>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</si>
  <si>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</si>
  <si>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</si>
  <si>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</si>
  <si>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</si>
  <si>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</si>
  <si>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</si>
  <si>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</si>
  <si>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</si>
  <si>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</si>
  <si>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</si>
  <si>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</si>
  <si>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</si>
  <si>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</si>
  <si>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</si>
  <si>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</si>
  <si>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</si>
  <si>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</si>
  <si>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</si>
  <si>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</si>
  <si>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</si>
  <si>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</si>
  <si>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</si>
  <si>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</si>
  <si>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</si>
  <si>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</si>
  <si>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</si>
  <si>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</si>
  <si>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</si>
  <si>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</si>
  <si>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</si>
  <si>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</si>
  <si>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</si>
  <si>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</si>
  <si>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</si>
  <si>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</si>
  <si>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</si>
  <si>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</si>
  <si>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</si>
  <si>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</si>
  <si>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</si>
  <si>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</si>
  <si>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</si>
  <si>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</si>
  <si>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</si>
  <si>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</si>
  <si>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</si>
  <si>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</si>
  <si>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</si>
  <si>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</si>
  <si>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</si>
  <si>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</si>
  <si>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</si>
  <si>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</si>
  <si>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</si>
  <si>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</si>
  <si>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</si>
  <si>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</si>
  <si>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</si>
  <si>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</si>
  <si>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</si>
  <si>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</si>
  <si>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</si>
  <si>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</si>
  <si>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</si>
  <si>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</si>
  <si>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</si>
  <si>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</si>
  <si>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</si>
  <si>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</si>
  <si>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</si>
  <si>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</si>
  <si>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</si>
  <si>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</si>
  <si>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</si>
  <si>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</si>
  <si>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</si>
  <si>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</si>
  <si>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</si>
  <si>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</si>
  <si>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</si>
  <si>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</si>
  <si>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</si>
  <si>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</si>
  <si>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</si>
  <si>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</si>
  <si>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</si>
  <si>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</si>
  <si>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</si>
  <si>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</si>
  <si>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</si>
  <si>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</si>
  <si>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</si>
  <si>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</si>
  <si>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</si>
  <si>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</si>
  <si>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</si>
  <si>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</si>
  <si>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</si>
  <si>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</si>
  <si>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</si>
  <si>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</si>
  <si>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</si>
  <si>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</si>
  <si>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</si>
  <si>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</si>
  <si>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</si>
  <si>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</si>
  <si>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</si>
  <si>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</si>
  <si>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</si>
  <si>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</si>
  <si>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</si>
  <si>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</si>
  <si>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</si>
  <si>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</si>
  <si>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</si>
  <si>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</si>
  <si>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</si>
  <si>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</si>
  <si>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</si>
  <si>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</si>
  <si>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</si>
  <si>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</si>
  <si>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</si>
  <si>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</si>
  <si>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</si>
  <si>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</si>
  <si>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</si>
  <si>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</si>
  <si>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</si>
  <si>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</si>
  <si>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</si>
  <si>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</si>
  <si>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</si>
  <si>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</si>
  <si>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</si>
  <si>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</si>
  <si>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</si>
  <si>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</si>
  <si>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</si>
  <si>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</si>
  <si>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</si>
  <si>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</si>
  <si>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</si>
  <si>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</si>
  <si>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</si>
  <si>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</si>
  <si>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</si>
  <si>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</si>
  <si>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</si>
  <si>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</si>
  <si>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</si>
  <si>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</si>
  <si>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</si>
  <si>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</si>
  <si>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</si>
  <si>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</si>
  <si>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</si>
  <si>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</si>
  <si>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</si>
  <si>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</si>
  <si>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</si>
  <si>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</si>
  <si>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</si>
  <si>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</si>
  <si>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</si>
  <si>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</si>
  <si>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</si>
  <si>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</si>
  <si>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</si>
  <si>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</si>
  <si>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</si>
  <si>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</si>
  <si>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</si>
  <si>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</si>
  <si>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</si>
  <si>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</si>
  <si>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</si>
  <si>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</si>
  <si>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</si>
  <si>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</si>
  <si>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</si>
  <si>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</si>
  <si>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</si>
  <si>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</si>
  <si>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</si>
  <si>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</si>
  <si>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</si>
  <si>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</si>
  <si>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</si>
  <si>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</si>
  <si>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</si>
  <si>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</si>
  <si>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</si>
  <si>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</si>
  <si>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</si>
  <si>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</si>
  <si>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</si>
  <si>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</si>
  <si>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</si>
  <si>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</si>
  <si>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</si>
  <si>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</si>
  <si>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</si>
  <si>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</si>
  <si>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</si>
  <si>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</si>
  <si>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</si>
  <si>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</si>
  <si>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</si>
  <si>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</si>
  <si>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</si>
  <si>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</si>
  <si>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EnergyFileUploadTestMeter</t>
  </si>
  <si>
    <t>UploadWaterMeterTest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</si>
</sst>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#,##0.00_ ;\-#,##0.00\ "/>
    <numFmt numFmtId="165" formatCode="mm/d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5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3" fontId="4" fillId="0" borderId="25" xfId="8" applyNumberFormat="1" applyFont="1" applyFill="1" applyBorder="1" applyAlignment="1" applyProtection="1">
      <alignment horizontal="right" vertical="center" indent="1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 vertical="center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xmlns="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xmlns="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xmlns="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18</xdr:row>
          <xdr:rowOff>190500</xdr:rowOff>
        </xdr:from>
        <xdr:to>
          <xdr:col>3</xdr:col>
          <xdr:colOff>9525</xdr:colOff>
          <xdr:row>20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xmlns="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20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xmlns="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18</xdr:row>
          <xdr:rowOff>190500</xdr:rowOff>
        </xdr:from>
        <xdr:to>
          <xdr:col>3</xdr:col>
          <xdr:colOff>9525</xdr:colOff>
          <xdr:row>20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xmlns="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xmlns="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xmlns="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20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xmlns="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18</xdr:row>
          <xdr:rowOff>190500</xdr:rowOff>
        </xdr:from>
        <xdr:to>
          <xdr:col>3</xdr:col>
          <xdr:colOff>9525</xdr:colOff>
          <xdr:row>20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xmlns="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20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xmlns="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2</xdr:col>
          <xdr:colOff>1314450</xdr:colOff>
          <xdr:row>20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xmlns="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19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19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xmlns="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18</xdr:row>
          <xdr:rowOff>190500</xdr:rowOff>
        </xdr:from>
        <xdr:to>
          <xdr:col>2</xdr:col>
          <xdr:colOff>9525</xdr:colOff>
          <xdr:row>19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xmlns="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xmlns="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0D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9525</xdr:rowOff>
        </xdr:from>
        <xdr:to>
          <xdr:col>2</xdr:col>
          <xdr:colOff>0</xdr:colOff>
          <xdr:row>20</xdr:row>
          <xdr:rowOff>276225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0D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9525</xdr:rowOff>
        </xdr:from>
        <xdr:to>
          <xdr:col>2</xdr:col>
          <xdr:colOff>1304925</xdr:colOff>
          <xdr:row>20</xdr:row>
          <xdr:rowOff>276225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xmlns="" id="{00000000-0008-0000-0D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0</xdr:rowOff>
        </xdr:from>
        <xdr:to>
          <xdr:col>2</xdr:col>
          <xdr:colOff>0</xdr:colOff>
          <xdr:row>20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0E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0</xdr:rowOff>
        </xdr:from>
        <xdr:to>
          <xdr:col>2</xdr:col>
          <xdr:colOff>1295400</xdr:colOff>
          <xdr:row>20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xmlns="" id="{00000000-0008-0000-0E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22"/>
  <sheetViews>
    <sheetView showGridLines="0" topLeftCell="A8" zoomScale="90" zoomScaleNormal="90" workbookViewId="0">
      <selection activeCell="E26" sqref="E26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3" width="9.140625" style="50" hidden="1" customWidth="1"/>
    <col min="14" max="14" width="9.140625" style="50" customWidth="1"/>
    <col min="15" max="19" width="9.140625" style="50" hidden="1" customWidth="1"/>
    <col min="20" max="20" width="0" style="50" hidden="1" customWidth="1"/>
    <col min="21" max="16384" width="9.140625" style="50"/>
  </cols>
  <sheetData>
    <row r="2" spans="2:14" x14ac:dyDescent="0.25">
      <c r="B2" s="56"/>
      <c r="C2" s="57" t="s">
        <v>574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18" t="s">
        <v>654</v>
      </c>
      <c r="D3" s="119"/>
      <c r="E3" s="119"/>
      <c r="F3" s="119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582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569</v>
      </c>
      <c r="D9" s="65"/>
      <c r="E9" s="66"/>
      <c r="F9" s="69" t="s">
        <v>583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584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588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646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4"/>
      <c r="C15" s="116" t="s">
        <v>494</v>
      </c>
      <c r="D15" s="116"/>
      <c r="E15" s="116"/>
      <c r="F15" s="82">
        <v>2017</v>
      </c>
      <c r="G15" s="9"/>
      <c r="H15" s="9"/>
      <c r="I15" s="10"/>
      <c r="J15" s="9"/>
      <c r="K15" s="85"/>
      <c r="L15" s="49"/>
      <c r="M15" s="49"/>
      <c r="N15" s="49"/>
    </row>
    <row r="16" spans="2:14" x14ac:dyDescent="0.25">
      <c r="B16" s="84"/>
      <c r="C16" s="116" t="str">
        <f>CONCATENATE("Gross 
Floor Area 
",IF(Setup!$F$9="SI units","(sq m)","(sq ft)"))</f>
        <v>Gross 
Floor Area 
(sq ft)</v>
      </c>
      <c r="D16" s="116"/>
      <c r="E16" s="116"/>
      <c r="F16" s="113">
        <v>2000</v>
      </c>
      <c r="G16" s="11"/>
      <c r="H16" s="11"/>
      <c r="I16" s="12"/>
      <c r="J16" s="11"/>
      <c r="K16" s="62"/>
      <c r="L16" s="49"/>
      <c r="M16" s="49"/>
      <c r="N16" s="49"/>
    </row>
    <row r="17" spans="2:19" x14ac:dyDescent="0.25">
      <c r="B17" s="84"/>
      <c r="C17" s="116" t="s">
        <v>670</v>
      </c>
      <c r="D17" s="116"/>
      <c r="E17" s="116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</row>
    <row r="18" spans="2:19" x14ac:dyDescent="0.25">
      <c r="B18" s="84"/>
      <c r="C18" s="116" t="s">
        <v>668</v>
      </c>
      <c r="D18" s="116"/>
      <c r="E18" s="116"/>
      <c r="F18" s="82">
        <v>168</v>
      </c>
      <c r="G18" s="11"/>
      <c r="H18" s="11"/>
      <c r="I18" s="12"/>
      <c r="J18" s="11"/>
      <c r="K18" s="85"/>
      <c r="L18" s="49">
        <f>F18/7</f>
        <v>24</v>
      </c>
      <c r="M18" s="49"/>
      <c r="N18" s="49"/>
    </row>
    <row r="19" spans="2:19" x14ac:dyDescent="0.25">
      <c r="B19" s="61"/>
      <c r="C19" s="116" t="s">
        <v>671</v>
      </c>
      <c r="D19" s="116"/>
      <c r="E19" s="116"/>
      <c r="F19" s="82">
        <v>10</v>
      </c>
      <c r="G19" s="11"/>
      <c r="H19" s="11"/>
      <c r="I19" s="12"/>
      <c r="J19" s="11"/>
      <c r="K19" s="85"/>
      <c r="L19" s="49"/>
      <c r="M19" s="49"/>
      <c r="N19" s="49"/>
    </row>
    <row r="20" spans="2:19" x14ac:dyDescent="0.25">
      <c r="B20" s="61"/>
      <c r="C20" s="116" t="s">
        <v>672</v>
      </c>
      <c r="D20" s="116"/>
      <c r="E20" s="116"/>
      <c r="F20" s="82">
        <v>2222</v>
      </c>
      <c r="G20" s="11"/>
      <c r="H20" s="11"/>
      <c r="I20" s="12"/>
      <c r="J20" s="11"/>
      <c r="K20" s="85"/>
      <c r="L20" s="49">
        <f>F20/60</f>
        <v>37.033333333333331</v>
      </c>
      <c r="M20" s="49"/>
      <c r="N20" s="49"/>
    </row>
    <row r="21" spans="2:19" x14ac:dyDescent="0.25">
      <c r="B21" s="61"/>
      <c r="C21" s="116" t="s">
        <v>673</v>
      </c>
      <c r="D21" s="116"/>
      <c r="E21" s="116"/>
      <c r="F21" s="83">
        <f>IFERROR(F19+ L17*(L20/L18),0)</f>
        <v>94.550989345509876</v>
      </c>
      <c r="G21" s="11"/>
      <c r="H21" s="11"/>
      <c r="I21" s="12"/>
      <c r="J21" s="11"/>
      <c r="K21" s="62"/>
      <c r="L21" s="49"/>
      <c r="M21" s="49"/>
      <c r="N21" s="49"/>
    </row>
    <row r="22" spans="2:19" ht="24" customHeight="1" x14ac:dyDescent="0.25">
      <c r="B22" s="61"/>
      <c r="C22" s="11"/>
      <c r="D22" s="11"/>
      <c r="E22" s="11"/>
      <c r="F22" s="86"/>
      <c r="G22" s="11"/>
      <c r="H22" s="11"/>
      <c r="I22" s="12"/>
      <c r="J22" s="11"/>
      <c r="K22" s="62"/>
      <c r="L22" s="49"/>
      <c r="M22" s="49"/>
      <c r="N22" s="49"/>
    </row>
    <row r="23" spans="2:19" ht="30" customHeight="1" x14ac:dyDescent="0.25">
      <c r="B23" s="61"/>
      <c r="C23" s="18" t="s">
        <v>585</v>
      </c>
      <c r="D23" s="11"/>
      <c r="E23" s="11"/>
      <c r="F23" s="11"/>
      <c r="G23" s="11"/>
      <c r="H23" s="11"/>
      <c r="I23" s="12"/>
      <c r="J23" s="11"/>
      <c r="K23" s="62"/>
    </row>
    <row r="24" spans="2:19" x14ac:dyDescent="0.25">
      <c r="B24" s="61"/>
      <c r="C24" s="55" t="s">
        <v>567</v>
      </c>
      <c r="D24" s="46"/>
      <c r="E24" s="47"/>
      <c r="F24" s="45" t="s">
        <v>544</v>
      </c>
      <c r="G24" s="9"/>
      <c r="H24" s="9"/>
      <c r="I24" s="10"/>
      <c r="J24" s="9"/>
      <c r="K24" s="62"/>
    </row>
    <row r="25" spans="2:19" x14ac:dyDescent="0.25">
      <c r="B25" s="61"/>
      <c r="C25" s="48" t="s">
        <v>495</v>
      </c>
      <c r="D25" s="19"/>
      <c r="E25" s="20"/>
      <c r="F25" s="11"/>
      <c r="G25" s="9"/>
      <c r="H25" s="9"/>
      <c r="I25" s="10"/>
      <c r="J25" s="9"/>
      <c r="K25" s="62"/>
    </row>
    <row r="26" spans="2:19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19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19" ht="21" customHeight="1" x14ac:dyDescent="0.25">
      <c r="B28" s="61"/>
      <c r="C28" s="75" t="s">
        <v>587</v>
      </c>
      <c r="D28" s="76"/>
      <c r="E28" s="72"/>
      <c r="F28" s="72"/>
      <c r="G28" s="77"/>
      <c r="H28" s="77"/>
      <c r="I28" s="77"/>
      <c r="J28" s="77"/>
      <c r="K28" s="62"/>
    </row>
    <row r="29" spans="2:19" ht="30.6" customHeight="1" x14ac:dyDescent="0.25">
      <c r="B29" s="61"/>
      <c r="C29" s="117" t="s">
        <v>573</v>
      </c>
      <c r="D29" s="117"/>
      <c r="E29" s="117"/>
      <c r="F29" s="117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552</v>
      </c>
      <c r="Q29" s="50" t="s">
        <v>552</v>
      </c>
      <c r="S29" s="87" t="s">
        <v>581</v>
      </c>
    </row>
    <row r="30" spans="2:19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544</v>
      </c>
      <c r="Q30" s="50" t="s">
        <v>544</v>
      </c>
      <c r="S30" s="88" t="s">
        <v>590</v>
      </c>
    </row>
    <row r="31" spans="2:19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562</v>
      </c>
      <c r="Q31" s="50" t="s">
        <v>562</v>
      </c>
      <c r="S31" s="88" t="s">
        <v>591</v>
      </c>
    </row>
    <row r="32" spans="2:19" ht="11.25" customHeight="1" x14ac:dyDescent="0.25">
      <c r="F32" s="51"/>
      <c r="K32" s="54"/>
      <c r="L32" s="52" t="s">
        <v>12</v>
      </c>
      <c r="M32" s="52" t="s">
        <v>13</v>
      </c>
      <c r="O32" s="50" t="s">
        <v>559</v>
      </c>
      <c r="S32" s="88" t="s">
        <v>592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561</v>
      </c>
      <c r="S33" s="88" t="s">
        <v>593</v>
      </c>
    </row>
    <row r="34" spans="6:19" x14ac:dyDescent="0.25">
      <c r="F34" s="51"/>
      <c r="K34" s="63" t="s">
        <v>586</v>
      </c>
      <c r="L34" s="52" t="s">
        <v>16</v>
      </c>
      <c r="M34" s="52" t="s">
        <v>17</v>
      </c>
      <c r="O34" s="50" t="s">
        <v>560</v>
      </c>
      <c r="S34" s="88" t="s">
        <v>594</v>
      </c>
    </row>
    <row r="35" spans="6:19" x14ac:dyDescent="0.25">
      <c r="K35" s="63" t="s">
        <v>589</v>
      </c>
      <c r="L35" s="52" t="s">
        <v>18</v>
      </c>
      <c r="M35" s="52" t="s">
        <v>19</v>
      </c>
      <c r="S35" s="88" t="s">
        <v>595</v>
      </c>
    </row>
    <row r="36" spans="6:19" x14ac:dyDescent="0.25">
      <c r="K36" s="63" t="s">
        <v>571</v>
      </c>
      <c r="L36" s="52" t="s">
        <v>20</v>
      </c>
      <c r="M36" s="52" t="s">
        <v>21</v>
      </c>
      <c r="S36" s="88" t="s">
        <v>596</v>
      </c>
    </row>
    <row r="37" spans="6:19" x14ac:dyDescent="0.25">
      <c r="K37" s="63" t="s">
        <v>572</v>
      </c>
      <c r="L37" s="52" t="s">
        <v>22</v>
      </c>
      <c r="M37" s="52" t="s">
        <v>23</v>
      </c>
      <c r="S37" s="88" t="s">
        <v>597</v>
      </c>
    </row>
    <row r="38" spans="6:19" x14ac:dyDescent="0.25">
      <c r="L38" s="52" t="s">
        <v>24</v>
      </c>
      <c r="M38" s="52" t="s">
        <v>25</v>
      </c>
      <c r="S38" s="88" t="s">
        <v>598</v>
      </c>
    </row>
    <row r="39" spans="6:19" x14ac:dyDescent="0.25">
      <c r="L39" s="52" t="s">
        <v>26</v>
      </c>
      <c r="M39" s="52" t="s">
        <v>27</v>
      </c>
      <c r="S39" s="88" t="s">
        <v>599</v>
      </c>
    </row>
    <row r="40" spans="6:19" x14ac:dyDescent="0.25">
      <c r="L40" s="52" t="s">
        <v>28</v>
      </c>
      <c r="M40" s="52" t="s">
        <v>29</v>
      </c>
      <c r="S40" s="88" t="s">
        <v>600</v>
      </c>
    </row>
    <row r="41" spans="6:19" x14ac:dyDescent="0.25">
      <c r="L41" s="52" t="s">
        <v>30</v>
      </c>
      <c r="M41" s="52" t="s">
        <v>31</v>
      </c>
      <c r="S41" s="88" t="s">
        <v>601</v>
      </c>
    </row>
    <row r="42" spans="6:19" x14ac:dyDescent="0.25">
      <c r="L42" s="52" t="s">
        <v>32</v>
      </c>
      <c r="M42" s="52" t="s">
        <v>33</v>
      </c>
      <c r="S42" s="88" t="s">
        <v>602</v>
      </c>
    </row>
    <row r="43" spans="6:19" x14ac:dyDescent="0.25">
      <c r="L43" s="52" t="s">
        <v>34</v>
      </c>
      <c r="M43" s="52" t="s">
        <v>35</v>
      </c>
      <c r="S43" s="88" t="s">
        <v>603</v>
      </c>
    </row>
    <row r="44" spans="6:19" x14ac:dyDescent="0.25">
      <c r="L44" s="52" t="s">
        <v>36</v>
      </c>
      <c r="M44" s="52" t="s">
        <v>37</v>
      </c>
      <c r="S44" s="88" t="s">
        <v>604</v>
      </c>
    </row>
    <row r="45" spans="6:19" x14ac:dyDescent="0.25">
      <c r="L45" s="52" t="s">
        <v>38</v>
      </c>
      <c r="M45" s="52" t="s">
        <v>39</v>
      </c>
      <c r="S45" s="88" t="s">
        <v>605</v>
      </c>
    </row>
    <row r="46" spans="6:19" x14ac:dyDescent="0.25">
      <c r="L46" s="52" t="s">
        <v>40</v>
      </c>
      <c r="M46" s="52" t="s">
        <v>41</v>
      </c>
      <c r="S46" s="88" t="s">
        <v>606</v>
      </c>
    </row>
    <row r="47" spans="6:19" x14ac:dyDescent="0.25">
      <c r="L47" s="52" t="s">
        <v>42</v>
      </c>
      <c r="M47" s="52" t="s">
        <v>43</v>
      </c>
      <c r="S47" s="88" t="s">
        <v>607</v>
      </c>
    </row>
    <row r="48" spans="6:19" x14ac:dyDescent="0.25">
      <c r="L48" s="52" t="s">
        <v>44</v>
      </c>
      <c r="M48" s="52" t="s">
        <v>45</v>
      </c>
      <c r="S48" s="88" t="s">
        <v>608</v>
      </c>
    </row>
    <row r="49" spans="12:19" x14ac:dyDescent="0.25">
      <c r="L49" s="52" t="s">
        <v>46</v>
      </c>
      <c r="M49" s="52" t="s">
        <v>47</v>
      </c>
      <c r="S49" s="88" t="s">
        <v>609</v>
      </c>
    </row>
    <row r="50" spans="12:19" x14ac:dyDescent="0.25">
      <c r="L50" s="52" t="s">
        <v>48</v>
      </c>
      <c r="M50" s="52" t="s">
        <v>49</v>
      </c>
      <c r="S50" s="88" t="s">
        <v>610</v>
      </c>
    </row>
    <row r="51" spans="12:19" x14ac:dyDescent="0.25">
      <c r="L51" s="52" t="s">
        <v>50</v>
      </c>
      <c r="M51" s="52" t="s">
        <v>51</v>
      </c>
      <c r="S51" s="88" t="s">
        <v>611</v>
      </c>
    </row>
    <row r="52" spans="12:19" x14ac:dyDescent="0.25">
      <c r="L52" s="52" t="s">
        <v>52</v>
      </c>
      <c r="M52" s="52" t="s">
        <v>53</v>
      </c>
      <c r="S52" s="88" t="s">
        <v>612</v>
      </c>
    </row>
    <row r="53" spans="12:19" x14ac:dyDescent="0.25">
      <c r="L53" s="52" t="s">
        <v>54</v>
      </c>
      <c r="M53" s="52" t="s">
        <v>55</v>
      </c>
      <c r="S53" s="88" t="s">
        <v>613</v>
      </c>
    </row>
    <row r="54" spans="12:19" x14ac:dyDescent="0.25">
      <c r="L54" s="52" t="s">
        <v>56</v>
      </c>
      <c r="M54" s="52" t="s">
        <v>57</v>
      </c>
      <c r="S54" s="88" t="s">
        <v>614</v>
      </c>
    </row>
    <row r="55" spans="12:19" x14ac:dyDescent="0.25">
      <c r="L55" s="52" t="s">
        <v>58</v>
      </c>
      <c r="M55" s="52" t="s">
        <v>59</v>
      </c>
      <c r="S55" s="88" t="s">
        <v>615</v>
      </c>
    </row>
    <row r="56" spans="12:19" x14ac:dyDescent="0.25">
      <c r="L56" s="52" t="s">
        <v>60</v>
      </c>
      <c r="M56" s="52" t="s">
        <v>61</v>
      </c>
      <c r="S56" s="88" t="s">
        <v>616</v>
      </c>
    </row>
    <row r="57" spans="12:19" x14ac:dyDescent="0.25">
      <c r="L57" s="52" t="s">
        <v>62</v>
      </c>
      <c r="M57" s="52" t="s">
        <v>63</v>
      </c>
      <c r="S57" s="88" t="s">
        <v>617</v>
      </c>
    </row>
    <row r="58" spans="12:19" x14ac:dyDescent="0.25">
      <c r="L58" s="52" t="s">
        <v>64</v>
      </c>
      <c r="M58" s="52" t="s">
        <v>65</v>
      </c>
      <c r="S58" s="88" t="s">
        <v>618</v>
      </c>
    </row>
    <row r="59" spans="12:19" x14ac:dyDescent="0.25">
      <c r="L59" s="52" t="s">
        <v>66</v>
      </c>
      <c r="M59" s="52" t="s">
        <v>67</v>
      </c>
      <c r="S59" s="88" t="s">
        <v>619</v>
      </c>
    </row>
    <row r="60" spans="12:19" x14ac:dyDescent="0.25">
      <c r="L60" s="52" t="s">
        <v>68</v>
      </c>
      <c r="M60" s="52" t="s">
        <v>69</v>
      </c>
      <c r="S60" s="88" t="s">
        <v>620</v>
      </c>
    </row>
    <row r="61" spans="12:19" x14ac:dyDescent="0.25">
      <c r="L61" s="52" t="s">
        <v>70</v>
      </c>
      <c r="M61" s="52" t="s">
        <v>71</v>
      </c>
      <c r="S61" s="88" t="s">
        <v>621</v>
      </c>
    </row>
    <row r="62" spans="12:19" x14ac:dyDescent="0.25">
      <c r="L62" s="52" t="s">
        <v>72</v>
      </c>
      <c r="M62" s="52" t="s">
        <v>73</v>
      </c>
      <c r="S62" s="88" t="s">
        <v>622</v>
      </c>
    </row>
    <row r="63" spans="12:19" x14ac:dyDescent="0.25">
      <c r="L63" s="52" t="s">
        <v>74</v>
      </c>
      <c r="M63" s="52" t="s">
        <v>75</v>
      </c>
      <c r="S63" s="88" t="s">
        <v>623</v>
      </c>
    </row>
    <row r="64" spans="12:19" x14ac:dyDescent="0.25">
      <c r="L64" s="52" t="s">
        <v>76</v>
      </c>
      <c r="M64" s="52" t="s">
        <v>77</v>
      </c>
      <c r="S64" s="88" t="s">
        <v>624</v>
      </c>
    </row>
    <row r="65" spans="12:19" x14ac:dyDescent="0.25">
      <c r="L65" s="52" t="s">
        <v>78</v>
      </c>
      <c r="M65" s="52" t="s">
        <v>79</v>
      </c>
      <c r="S65" s="88" t="s">
        <v>625</v>
      </c>
    </row>
    <row r="66" spans="12:19" x14ac:dyDescent="0.25">
      <c r="L66" s="52" t="s">
        <v>80</v>
      </c>
      <c r="M66" s="52" t="s">
        <v>81</v>
      </c>
      <c r="S66" s="88" t="s">
        <v>626</v>
      </c>
    </row>
    <row r="67" spans="12:19" x14ac:dyDescent="0.25">
      <c r="L67" s="52" t="s">
        <v>82</v>
      </c>
      <c r="M67" s="52" t="s">
        <v>83</v>
      </c>
      <c r="S67" s="88" t="s">
        <v>627</v>
      </c>
    </row>
    <row r="68" spans="12:19" x14ac:dyDescent="0.25">
      <c r="L68" s="52" t="s">
        <v>84</v>
      </c>
      <c r="M68" s="52" t="s">
        <v>85</v>
      </c>
      <c r="S68" s="88" t="s">
        <v>628</v>
      </c>
    </row>
    <row r="69" spans="12:19" x14ac:dyDescent="0.25">
      <c r="L69" s="52" t="s">
        <v>86</v>
      </c>
      <c r="M69" s="52" t="s">
        <v>87</v>
      </c>
      <c r="S69" s="88" t="s">
        <v>629</v>
      </c>
    </row>
    <row r="70" spans="12:19" x14ac:dyDescent="0.25">
      <c r="L70" s="52" t="s">
        <v>88</v>
      </c>
      <c r="M70" s="52" t="s">
        <v>89</v>
      </c>
      <c r="S70" s="88" t="s">
        <v>630</v>
      </c>
    </row>
    <row r="71" spans="12:19" x14ac:dyDescent="0.25">
      <c r="L71" s="52" t="s">
        <v>90</v>
      </c>
      <c r="M71" s="52" t="s">
        <v>91</v>
      </c>
      <c r="S71" s="88" t="s">
        <v>631</v>
      </c>
    </row>
    <row r="72" spans="12:19" x14ac:dyDescent="0.25">
      <c r="L72" s="52" t="s">
        <v>92</v>
      </c>
      <c r="M72" s="52" t="s">
        <v>93</v>
      </c>
      <c r="S72" s="88" t="s">
        <v>632</v>
      </c>
    </row>
    <row r="73" spans="12:19" x14ac:dyDescent="0.25">
      <c r="L73" s="52" t="s">
        <v>94</v>
      </c>
      <c r="M73" s="52" t="s">
        <v>95</v>
      </c>
      <c r="S73" s="88" t="s">
        <v>633</v>
      </c>
    </row>
    <row r="74" spans="12:19" x14ac:dyDescent="0.25">
      <c r="L74" s="52" t="s">
        <v>96</v>
      </c>
      <c r="M74" s="52" t="s">
        <v>97</v>
      </c>
      <c r="S74" s="88" t="s">
        <v>634</v>
      </c>
    </row>
    <row r="75" spans="12:19" x14ac:dyDescent="0.25">
      <c r="L75" s="52" t="s">
        <v>98</v>
      </c>
      <c r="M75" s="52" t="s">
        <v>99</v>
      </c>
      <c r="S75" s="88" t="s">
        <v>635</v>
      </c>
    </row>
    <row r="76" spans="12:19" x14ac:dyDescent="0.25">
      <c r="L76" s="52" t="s">
        <v>100</v>
      </c>
      <c r="M76" s="52" t="s">
        <v>101</v>
      </c>
      <c r="S76" s="88" t="s">
        <v>636</v>
      </c>
    </row>
    <row r="77" spans="12:19" x14ac:dyDescent="0.25">
      <c r="L77" s="52" t="s">
        <v>102</v>
      </c>
      <c r="M77" s="52" t="s">
        <v>103</v>
      </c>
      <c r="S77" s="88" t="s">
        <v>637</v>
      </c>
    </row>
    <row r="78" spans="12:19" x14ac:dyDescent="0.25">
      <c r="L78" s="52" t="s">
        <v>104</v>
      </c>
      <c r="M78" s="52" t="s">
        <v>105</v>
      </c>
      <c r="S78" s="88" t="s">
        <v>638</v>
      </c>
    </row>
    <row r="79" spans="12:19" x14ac:dyDescent="0.25">
      <c r="L79" s="52" t="s">
        <v>106</v>
      </c>
      <c r="M79" s="52" t="s">
        <v>107</v>
      </c>
      <c r="S79" s="88" t="s">
        <v>639</v>
      </c>
    </row>
    <row r="80" spans="12:19" x14ac:dyDescent="0.25">
      <c r="L80" s="52" t="s">
        <v>108</v>
      </c>
      <c r="M80" s="52" t="s">
        <v>109</v>
      </c>
      <c r="S80" s="88" t="s">
        <v>640</v>
      </c>
    </row>
    <row r="81" spans="12:19" x14ac:dyDescent="0.25">
      <c r="L81" s="52" t="s">
        <v>110</v>
      </c>
      <c r="M81" s="52" t="s">
        <v>111</v>
      </c>
      <c r="S81" s="88" t="s">
        <v>641</v>
      </c>
    </row>
    <row r="82" spans="12:19" x14ac:dyDescent="0.25">
      <c r="L82" s="52" t="s">
        <v>112</v>
      </c>
      <c r="M82" s="52" t="s">
        <v>113</v>
      </c>
      <c r="S82" s="88" t="s">
        <v>642</v>
      </c>
    </row>
    <row r="83" spans="12:19" x14ac:dyDescent="0.25">
      <c r="L83" s="52" t="s">
        <v>114</v>
      </c>
      <c r="M83" s="52" t="s">
        <v>115</v>
      </c>
      <c r="S83" s="88" t="s">
        <v>643</v>
      </c>
    </row>
    <row r="84" spans="12:19" x14ac:dyDescent="0.25">
      <c r="L84" s="52" t="s">
        <v>116</v>
      </c>
      <c r="M84" s="52" t="s">
        <v>117</v>
      </c>
      <c r="S84" s="88" t="s">
        <v>644</v>
      </c>
    </row>
    <row r="85" spans="12:19" x14ac:dyDescent="0.25">
      <c r="L85" s="52" t="s">
        <v>118</v>
      </c>
      <c r="M85" s="52" t="s">
        <v>119</v>
      </c>
      <c r="S85" s="88" t="s">
        <v>645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496</v>
      </c>
    </row>
    <row r="275" spans="12:12" x14ac:dyDescent="0.25">
      <c r="L275" s="52" t="s">
        <v>497</v>
      </c>
    </row>
    <row r="276" spans="12:12" x14ac:dyDescent="0.25">
      <c r="L276" s="52" t="s">
        <v>498</v>
      </c>
    </row>
    <row r="277" spans="12:12" x14ac:dyDescent="0.25">
      <c r="L277" s="52" t="s">
        <v>499</v>
      </c>
    </row>
    <row r="278" spans="12:12" x14ac:dyDescent="0.25">
      <c r="L278" s="52" t="s">
        <v>500</v>
      </c>
    </row>
    <row r="279" spans="12:12" x14ac:dyDescent="0.25">
      <c r="L279" s="52" t="s">
        <v>501</v>
      </c>
    </row>
    <row r="280" spans="12:12" x14ac:dyDescent="0.25">
      <c r="L280" s="52" t="s">
        <v>502</v>
      </c>
    </row>
    <row r="281" spans="12:12" x14ac:dyDescent="0.25">
      <c r="L281" s="52" t="s">
        <v>503</v>
      </c>
    </row>
    <row r="282" spans="12:12" x14ac:dyDescent="0.25">
      <c r="L282" s="52" t="s">
        <v>504</v>
      </c>
    </row>
    <row r="283" spans="12:12" x14ac:dyDescent="0.25">
      <c r="L283" s="52" t="s">
        <v>505</v>
      </c>
    </row>
    <row r="284" spans="12:12" x14ac:dyDescent="0.25">
      <c r="L284" s="52" t="s">
        <v>506</v>
      </c>
    </row>
    <row r="285" spans="12:12" x14ac:dyDescent="0.25">
      <c r="L285" s="52" t="s">
        <v>507</v>
      </c>
    </row>
    <row r="286" spans="12:12" x14ac:dyDescent="0.25">
      <c r="L286" s="52" t="s">
        <v>508</v>
      </c>
    </row>
    <row r="287" spans="12:12" x14ac:dyDescent="0.25">
      <c r="L287" s="52" t="s">
        <v>509</v>
      </c>
    </row>
    <row r="288" spans="12:12" x14ac:dyDescent="0.25">
      <c r="L288" s="52" t="s">
        <v>510</v>
      </c>
    </row>
    <row r="289" spans="12:12" x14ac:dyDescent="0.25">
      <c r="L289" s="52" t="s">
        <v>511</v>
      </c>
    </row>
    <row r="290" spans="12:12" x14ac:dyDescent="0.25">
      <c r="L290" s="52" t="s">
        <v>512</v>
      </c>
    </row>
    <row r="291" spans="12:12" x14ac:dyDescent="0.25">
      <c r="L291" s="52" t="s">
        <v>513</v>
      </c>
    </row>
    <row r="292" spans="12:12" x14ac:dyDescent="0.25">
      <c r="L292" s="52" t="s">
        <v>514</v>
      </c>
    </row>
    <row r="293" spans="12:12" x14ac:dyDescent="0.25">
      <c r="L293" s="52" t="s">
        <v>515</v>
      </c>
    </row>
    <row r="294" spans="12:12" x14ac:dyDescent="0.25">
      <c r="L294" s="52" t="s">
        <v>516</v>
      </c>
    </row>
    <row r="295" spans="12:12" x14ac:dyDescent="0.25">
      <c r="L295" s="52" t="s">
        <v>517</v>
      </c>
    </row>
    <row r="296" spans="12:12" x14ac:dyDescent="0.25">
      <c r="L296" s="52" t="s">
        <v>518</v>
      </c>
    </row>
    <row r="297" spans="12:12" x14ac:dyDescent="0.25">
      <c r="L297" s="52" t="s">
        <v>519</v>
      </c>
    </row>
    <row r="298" spans="12:12" x14ac:dyDescent="0.25">
      <c r="L298" s="52" t="s">
        <v>520</v>
      </c>
    </row>
    <row r="299" spans="12:12" x14ac:dyDescent="0.25">
      <c r="L299" s="52" t="s">
        <v>521</v>
      </c>
    </row>
    <row r="300" spans="12:12" x14ac:dyDescent="0.25">
      <c r="L300" s="52" t="s">
        <v>522</v>
      </c>
    </row>
    <row r="301" spans="12:12" x14ac:dyDescent="0.25">
      <c r="L301" s="52" t="s">
        <v>523</v>
      </c>
    </row>
    <row r="303" spans="12:12" x14ac:dyDescent="0.25">
      <c r="L303" s="53" t="s">
        <v>524</v>
      </c>
    </row>
    <row r="304" spans="12:12" x14ac:dyDescent="0.25">
      <c r="L304" s="52" t="s">
        <v>525</v>
      </c>
    </row>
    <row r="305" spans="12:12" x14ac:dyDescent="0.25">
      <c r="L305" s="52" t="s">
        <v>526</v>
      </c>
    </row>
    <row r="306" spans="12:12" x14ac:dyDescent="0.25">
      <c r="L306" s="52" t="s">
        <v>527</v>
      </c>
    </row>
    <row r="307" spans="12:12" x14ac:dyDescent="0.25">
      <c r="L307" s="52" t="s">
        <v>528</v>
      </c>
    </row>
    <row r="308" spans="12:12" x14ac:dyDescent="0.25">
      <c r="L308" s="52" t="s">
        <v>529</v>
      </c>
    </row>
    <row r="309" spans="12:12" x14ac:dyDescent="0.25">
      <c r="L309" s="52" t="s">
        <v>530</v>
      </c>
    </row>
    <row r="310" spans="12:12" x14ac:dyDescent="0.25">
      <c r="L310" s="52" t="s">
        <v>531</v>
      </c>
    </row>
    <row r="311" spans="12:12" x14ac:dyDescent="0.25">
      <c r="L311" s="52" t="s">
        <v>532</v>
      </c>
    </row>
    <row r="312" spans="12:12" x14ac:dyDescent="0.25">
      <c r="L312" s="52" t="s">
        <v>533</v>
      </c>
    </row>
    <row r="313" spans="12:12" x14ac:dyDescent="0.25">
      <c r="L313" s="52" t="s">
        <v>534</v>
      </c>
    </row>
    <row r="314" spans="12:12" x14ac:dyDescent="0.25">
      <c r="L314" s="52" t="s">
        <v>535</v>
      </c>
    </row>
    <row r="315" spans="12:12" x14ac:dyDescent="0.25">
      <c r="L315" s="52" t="s">
        <v>536</v>
      </c>
    </row>
    <row r="316" spans="12:12" x14ac:dyDescent="0.25">
      <c r="L316" s="52" t="s">
        <v>537</v>
      </c>
    </row>
    <row r="317" spans="12:12" x14ac:dyDescent="0.25">
      <c r="L317" s="52" t="s">
        <v>538</v>
      </c>
    </row>
    <row r="318" spans="12:12" x14ac:dyDescent="0.25">
      <c r="L318" s="52" t="s">
        <v>539</v>
      </c>
    </row>
    <row r="319" spans="12:12" x14ac:dyDescent="0.25">
      <c r="L319" s="52" t="s">
        <v>540</v>
      </c>
    </row>
    <row r="320" spans="12:12" x14ac:dyDescent="0.25">
      <c r="L320" s="52" t="s">
        <v>541</v>
      </c>
    </row>
    <row r="321" spans="12:12" x14ac:dyDescent="0.25">
      <c r="L321" s="52" t="s">
        <v>542</v>
      </c>
    </row>
    <row r="322" spans="12:12" x14ac:dyDescent="0.25">
      <c r="L322" s="52" t="s">
        <v>543</v>
      </c>
    </row>
  </sheetData>
  <mergeCells count="9">
    <mergeCell ref="C18:E18"/>
    <mergeCell ref="C29:F29"/>
    <mergeCell ref="C20:E20"/>
    <mergeCell ref="C3:F3"/>
    <mergeCell ref="C15:E15"/>
    <mergeCell ref="C16:E16"/>
    <mergeCell ref="C21:E21"/>
    <mergeCell ref="C17:E17"/>
    <mergeCell ref="C19:E19"/>
  </mergeCells>
  <dataValidations count="8">
    <dataValidation type="list" allowBlank="1" showInputMessage="1" showErrorMessage="1" sqref="F24">
      <formula1>newMet</formula1>
    </dataValidation>
    <dataValidation type="whole" allowBlank="1" showInputMessage="1" showErrorMessage="1" error="Character are not allowed in this field." sqref="F21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whole" allowBlank="1" showInputMessage="1" showErrorMessage="1" errorTitle="Full time staff " error="Integers are only allowed in this fields_x000a_" sqref="F19">
      <formula1>0</formula1>
      <formula2>999999999</formula2>
    </dataValidation>
    <dataValidation type="list" allowBlank="1" showInputMessage="1" showErrorMessage="1" sqref="F9">
      <formula1>"IP units, SI units"</formula1>
    </dataValidation>
    <dataValidation type="whole" allowBlank="1" showInputMessage="1" showErrorMessage="1" errorTitle="Weekly Operating Hours" error="It can accepts integer values from 1 to 168." sqref="F18">
      <formula1>1</formula1>
      <formula2>168</formula2>
    </dataValidation>
    <dataValidation type="whole" allowBlank="1" showInputMessage="1" showErrorMessage="1" errorTitle="Annual ridership " error="Integers are only allowed in this fields_x000a_" sqref="F17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>
      <formula1>0</formula1>
      <formula2>999999999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580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580</v>
      </c>
      <c r="B2" s="99" t="s">
        <v>568</v>
      </c>
      <c r="C2" s="104"/>
      <c r="D2" s="102"/>
      <c r="E2" s="1"/>
    </row>
    <row r="3" spans="1:9" x14ac:dyDescent="0.25">
      <c r="A3" s="6" t="s">
        <v>580</v>
      </c>
      <c r="B3" s="100" t="s">
        <v>669</v>
      </c>
      <c r="C3" s="105"/>
      <c r="D3" s="102" t="s">
        <v>649</v>
      </c>
      <c r="E3" s="1"/>
    </row>
    <row r="4" spans="1:9" x14ac:dyDescent="0.25">
      <c r="A4" s="6" t="s">
        <v>580</v>
      </c>
      <c r="B4" s="100" t="s">
        <v>569</v>
      </c>
      <c r="C4" s="105"/>
      <c r="D4" s="102" t="s">
        <v>528</v>
      </c>
      <c r="E4" s="1"/>
    </row>
    <row r="5" spans="1:9" x14ac:dyDescent="0.25">
      <c r="A5" s="6" t="s">
        <v>580</v>
      </c>
      <c r="B5" s="44" t="s">
        <v>666</v>
      </c>
      <c r="C5" s="106"/>
      <c r="D5" s="98"/>
      <c r="E5" s="1"/>
    </row>
    <row r="6" spans="1:9" ht="24.75" customHeight="1" x14ac:dyDescent="0.25">
      <c r="A6" s="6">
        <v>10</v>
      </c>
      <c r="B6" s="103" t="s">
        <v>547</v>
      </c>
      <c r="C6" s="103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649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t="s">
        <v>650</v>
      </c>
    </row>
    <row r="11" spans="1:9" x14ac:dyDescent="0.25">
      <c r="I11" t="s">
        <v>651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652</v>
      </c>
    </row>
    <row r="28" spans="8:8" x14ac:dyDescent="0.25">
      <c r="H28" s="5" t="s">
        <v>653</v>
      </c>
    </row>
    <row r="29" spans="8:8" x14ac:dyDescent="0.25">
      <c r="H29" s="5" t="s">
        <v>647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uUluxXp8l12/WOnx9aqwFPn62icbP93RlH2V+w4EaDv8P80qL1q2G6EXqDuU8hEyA46aa6zfBNgO8h47DYm8jA==" saltValue="LQ6HQ4bdTbmw6YWhgN+c5w==" spinCount="100000" sheet="1" objects="1" scenarios="1"/>
  <dataValidations count="6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580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580</v>
      </c>
      <c r="B2" s="99" t="s">
        <v>568</v>
      </c>
      <c r="C2" s="104"/>
      <c r="D2" s="102"/>
      <c r="E2" s="1"/>
    </row>
    <row r="3" spans="1:10" x14ac:dyDescent="0.25">
      <c r="A3" s="6" t="s">
        <v>580</v>
      </c>
      <c r="B3" s="100" t="s">
        <v>669</v>
      </c>
      <c r="C3" s="105"/>
      <c r="D3" s="102" t="s">
        <v>648</v>
      </c>
      <c r="E3" s="1"/>
    </row>
    <row r="4" spans="1:10" x14ac:dyDescent="0.25">
      <c r="A4" s="6" t="s">
        <v>580</v>
      </c>
      <c r="B4" s="100" t="s">
        <v>569</v>
      </c>
      <c r="C4" s="105"/>
      <c r="D4" s="102" t="s">
        <v>533</v>
      </c>
      <c r="E4" s="1"/>
    </row>
    <row r="5" spans="1:10" x14ac:dyDescent="0.25">
      <c r="A5" s="6" t="s">
        <v>580</v>
      </c>
      <c r="B5" s="44" t="s">
        <v>666</v>
      </c>
      <c r="C5" s="106"/>
      <c r="D5" s="107"/>
      <c r="E5" s="1"/>
    </row>
    <row r="6" spans="1:10" ht="24" customHeight="1" x14ac:dyDescent="0.25">
      <c r="A6" s="6">
        <v>10</v>
      </c>
      <c r="B6" s="103" t="s">
        <v>547</v>
      </c>
      <c r="C6" s="103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648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674</v>
      </c>
    </row>
    <row r="11" spans="1:10" x14ac:dyDescent="0.25">
      <c r="J11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sheetProtection algorithmName="SHA-512" hashValue="WM3yb2keUDzZMqk+18cgfgLlSPAKJ7L3KbJ5tJwykBRn51M0KYmKn9VQlzrapPgFjJYd+Tjh1en+GG1Kw9VljA==" saltValue="Qwn/OlgCbJtD55eH0qGvXw==" spinCount="100000" sheet="1" objects="1" scenarios="1"/>
  <dataValidations count="6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580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580</v>
      </c>
      <c r="B2" s="99" t="s">
        <v>568</v>
      </c>
      <c r="C2" s="108"/>
      <c r="D2" s="102"/>
      <c r="E2" s="1"/>
    </row>
    <row r="3" spans="1:24" ht="29.25" customHeight="1" x14ac:dyDescent="0.25">
      <c r="A3" s="6" t="s">
        <v>580</v>
      </c>
      <c r="B3" s="100" t="s">
        <v>570</v>
      </c>
      <c r="C3" s="109"/>
      <c r="D3" s="110" t="s">
        <v>516</v>
      </c>
      <c r="E3" s="1"/>
    </row>
    <row r="4" spans="1:24" ht="15.75" customHeight="1" x14ac:dyDescent="0.25">
      <c r="A4" s="6" t="s">
        <v>580</v>
      </c>
      <c r="B4" s="100" t="s">
        <v>569</v>
      </c>
      <c r="C4" s="12"/>
      <c r="D4" s="111" t="s">
        <v>533</v>
      </c>
      <c r="E4" s="1"/>
    </row>
    <row r="5" spans="1:24" x14ac:dyDescent="0.25">
      <c r="A5" s="6" t="s">
        <v>580</v>
      </c>
      <c r="B5" s="44" t="s">
        <v>666</v>
      </c>
      <c r="C5" s="106"/>
      <c r="D5" s="107"/>
      <c r="E5" s="1"/>
    </row>
    <row r="6" spans="1:24" ht="24" customHeight="1" x14ac:dyDescent="0.25">
      <c r="A6" s="6">
        <v>10</v>
      </c>
      <c r="B6" s="103" t="s">
        <v>547</v>
      </c>
      <c r="C6" s="103" t="s">
        <v>548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549</v>
      </c>
      <c r="B10" s="34"/>
      <c r="C10" s="34"/>
      <c r="D10" s="34"/>
      <c r="E10" s="1"/>
      <c r="V10" s="3" t="s">
        <v>562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516</v>
      </c>
      <c r="H19" s="3" t="s">
        <v>533</v>
      </c>
      <c r="I19" s="3" t="s">
        <v>540</v>
      </c>
      <c r="J19" s="3" t="s">
        <v>541</v>
      </c>
      <c r="K19" s="3" t="s">
        <v>529</v>
      </c>
      <c r="L19" s="3" t="s">
        <v>555</v>
      </c>
      <c r="M19" s="3" t="s">
        <v>553</v>
      </c>
      <c r="N19" s="3" t="s">
        <v>527</v>
      </c>
      <c r="O19" s="3" t="s">
        <v>675</v>
      </c>
      <c r="P19" s="3" t="s">
        <v>528</v>
      </c>
      <c r="Q19" s="3" t="s">
        <v>531</v>
      </c>
      <c r="R19" s="3" t="s">
        <v>550</v>
      </c>
      <c r="S19" s="3" t="s">
        <v>551</v>
      </c>
      <c r="T19" s="3" t="s">
        <v>525</v>
      </c>
      <c r="U19" s="3" t="s">
        <v>530</v>
      </c>
      <c r="V19" s="3" t="s">
        <v>545</v>
      </c>
    </row>
    <row r="20" spans="7:22" x14ac:dyDescent="0.25">
      <c r="G20" s="23" t="s">
        <v>518</v>
      </c>
      <c r="H20" s="3" t="s">
        <v>529</v>
      </c>
      <c r="I20" s="3" t="s">
        <v>555</v>
      </c>
      <c r="J20" s="3" t="s">
        <v>543</v>
      </c>
      <c r="K20" s="3" t="s">
        <v>553</v>
      </c>
      <c r="L20" s="3" t="s">
        <v>533</v>
      </c>
      <c r="M20" s="3" t="s">
        <v>540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517</v>
      </c>
      <c r="H21" s="3" t="s">
        <v>529</v>
      </c>
      <c r="I21" s="3" t="s">
        <v>555</v>
      </c>
      <c r="J21" s="3" t="s">
        <v>551</v>
      </c>
      <c r="K21" s="3" t="s">
        <v>530</v>
      </c>
      <c r="L21" s="3" t="s">
        <v>528</v>
      </c>
      <c r="M21" s="3" t="s">
        <v>546</v>
      </c>
      <c r="N21" s="3" t="s">
        <v>564</v>
      </c>
      <c r="O21" s="3" t="s">
        <v>553</v>
      </c>
      <c r="P21" s="3" t="s">
        <v>533</v>
      </c>
      <c r="Q21" s="3" t="s">
        <v>540</v>
      </c>
      <c r="R21" s="5"/>
      <c r="S21" s="5"/>
      <c r="T21" s="5"/>
      <c r="U21" s="5"/>
      <c r="V21" s="5"/>
    </row>
    <row r="22" spans="7:22" x14ac:dyDescent="0.25">
      <c r="G22" s="23" t="s">
        <v>515</v>
      </c>
      <c r="H22" s="3" t="s">
        <v>529</v>
      </c>
      <c r="I22" s="3" t="s">
        <v>555</v>
      </c>
      <c r="J22" s="3" t="s">
        <v>551</v>
      </c>
      <c r="K22" s="3" t="s">
        <v>530</v>
      </c>
      <c r="L22" s="3" t="s">
        <v>528</v>
      </c>
      <c r="M22" s="3" t="s">
        <v>546</v>
      </c>
      <c r="N22" s="3" t="s">
        <v>564</v>
      </c>
      <c r="O22" s="3" t="s">
        <v>553</v>
      </c>
      <c r="P22" s="3" t="s">
        <v>533</v>
      </c>
      <c r="Q22" s="3" t="s">
        <v>540</v>
      </c>
      <c r="R22" s="5"/>
      <c r="S22" s="5"/>
      <c r="T22" s="5"/>
      <c r="U22" s="5"/>
      <c r="V22" s="5"/>
    </row>
    <row r="23" spans="7:22" x14ac:dyDescent="0.25">
      <c r="G23" s="23" t="s">
        <v>514</v>
      </c>
      <c r="H23" s="3" t="s">
        <v>529</v>
      </c>
      <c r="I23" s="3" t="s">
        <v>555</v>
      </c>
      <c r="J23" s="3" t="s">
        <v>528</v>
      </c>
      <c r="K23" s="3" t="s">
        <v>546</v>
      </c>
      <c r="L23" s="3" t="s">
        <v>564</v>
      </c>
      <c r="M23" s="3" t="s">
        <v>553</v>
      </c>
      <c r="N23" s="3" t="s">
        <v>533</v>
      </c>
      <c r="O23" s="3" t="s">
        <v>540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510</v>
      </c>
      <c r="H24" s="3" t="s">
        <v>529</v>
      </c>
      <c r="I24" s="3" t="s">
        <v>555</v>
      </c>
      <c r="J24" s="3" t="s">
        <v>528</v>
      </c>
      <c r="K24" s="3" t="s">
        <v>546</v>
      </c>
      <c r="L24" s="3" t="s">
        <v>564</v>
      </c>
      <c r="M24" s="3" t="s">
        <v>553</v>
      </c>
      <c r="N24" s="3" t="s">
        <v>533</v>
      </c>
      <c r="O24" s="3" t="s">
        <v>540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511</v>
      </c>
      <c r="H25" s="3" t="s">
        <v>529</v>
      </c>
      <c r="I25" s="3" t="s">
        <v>555</v>
      </c>
      <c r="J25" s="3" t="s">
        <v>528</v>
      </c>
      <c r="K25" s="3" t="s">
        <v>546</v>
      </c>
      <c r="L25" s="3" t="s">
        <v>564</v>
      </c>
      <c r="M25" s="3" t="s">
        <v>553</v>
      </c>
      <c r="N25" s="3" t="s">
        <v>533</v>
      </c>
      <c r="O25" s="3" t="s">
        <v>540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512</v>
      </c>
      <c r="H26" s="3" t="s">
        <v>529</v>
      </c>
      <c r="I26" s="3" t="s">
        <v>555</v>
      </c>
      <c r="J26" s="3" t="s">
        <v>528</v>
      </c>
      <c r="K26" s="3" t="s">
        <v>546</v>
      </c>
      <c r="L26" s="3" t="s">
        <v>564</v>
      </c>
      <c r="M26" s="3" t="s">
        <v>553</v>
      </c>
      <c r="N26" s="3" t="s">
        <v>533</v>
      </c>
      <c r="O26" s="3" t="s">
        <v>540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529</v>
      </c>
      <c r="I27" s="3" t="s">
        <v>555</v>
      </c>
      <c r="J27" s="3" t="s">
        <v>528</v>
      </c>
      <c r="K27" s="3" t="s">
        <v>546</v>
      </c>
      <c r="L27" s="3" t="s">
        <v>564</v>
      </c>
      <c r="M27" s="3" t="s">
        <v>553</v>
      </c>
      <c r="N27" s="3" t="s">
        <v>533</v>
      </c>
      <c r="O27" s="3" t="s">
        <v>540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497</v>
      </c>
      <c r="H28" s="3" t="s">
        <v>529</v>
      </c>
      <c r="I28" s="3" t="s">
        <v>555</v>
      </c>
      <c r="J28" s="3" t="s">
        <v>543</v>
      </c>
      <c r="K28" s="3" t="s">
        <v>556</v>
      </c>
      <c r="L28" s="3" t="s">
        <v>579</v>
      </c>
      <c r="M28" s="3" t="s">
        <v>557</v>
      </c>
      <c r="N28" s="3" t="s">
        <v>553</v>
      </c>
      <c r="O28" s="3" t="s">
        <v>533</v>
      </c>
      <c r="P28" s="3" t="s">
        <v>540</v>
      </c>
      <c r="R28" s="5"/>
      <c r="S28" s="5"/>
      <c r="T28" s="5"/>
      <c r="U28" s="5"/>
      <c r="V28" s="5"/>
    </row>
    <row r="29" spans="7:22" x14ac:dyDescent="0.25">
      <c r="G29" s="23" t="s">
        <v>498</v>
      </c>
      <c r="H29" s="3" t="s">
        <v>529</v>
      </c>
      <c r="I29" s="3" t="s">
        <v>555</v>
      </c>
      <c r="J29" s="3" t="s">
        <v>543</v>
      </c>
      <c r="K29" s="3" t="s">
        <v>556</v>
      </c>
      <c r="L29" s="3" t="s">
        <v>579</v>
      </c>
      <c r="M29" s="3" t="s">
        <v>557</v>
      </c>
      <c r="N29" s="3" t="s">
        <v>553</v>
      </c>
      <c r="O29" s="3" t="s">
        <v>533</v>
      </c>
      <c r="P29" s="3" t="s">
        <v>540</v>
      </c>
      <c r="R29" s="5"/>
      <c r="S29" s="5"/>
      <c r="T29" s="5"/>
      <c r="U29" s="5"/>
      <c r="V29" s="5"/>
    </row>
    <row r="30" spans="7:22" x14ac:dyDescent="0.25">
      <c r="G30" s="23" t="s">
        <v>499</v>
      </c>
      <c r="H30" s="3" t="s">
        <v>529</v>
      </c>
      <c r="I30" s="3" t="s">
        <v>555</v>
      </c>
      <c r="J30" s="3" t="s">
        <v>543</v>
      </c>
      <c r="K30" s="3" t="s">
        <v>556</v>
      </c>
      <c r="L30" s="3" t="s">
        <v>579</v>
      </c>
      <c r="M30" s="3" t="s">
        <v>557</v>
      </c>
      <c r="N30" s="3" t="s">
        <v>553</v>
      </c>
      <c r="O30" s="3" t="s">
        <v>533</v>
      </c>
      <c r="P30" s="3" t="s">
        <v>540</v>
      </c>
      <c r="R30" s="5"/>
      <c r="S30" s="5"/>
      <c r="T30" s="5"/>
      <c r="U30" s="5"/>
      <c r="V30" s="5"/>
    </row>
    <row r="31" spans="7:22" x14ac:dyDescent="0.25">
      <c r="G31" s="23" t="s">
        <v>500</v>
      </c>
      <c r="H31" s="3" t="s">
        <v>529</v>
      </c>
      <c r="I31" s="3" t="s">
        <v>555</v>
      </c>
      <c r="J31" s="3" t="s">
        <v>528</v>
      </c>
      <c r="K31" s="3" t="s">
        <v>546</v>
      </c>
      <c r="L31" s="3" t="s">
        <v>564</v>
      </c>
      <c r="M31" s="3" t="s">
        <v>553</v>
      </c>
      <c r="N31" s="3" t="s">
        <v>533</v>
      </c>
      <c r="O31" s="3" t="s">
        <v>540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506</v>
      </c>
      <c r="H32" s="3" t="s">
        <v>529</v>
      </c>
      <c r="I32" s="3" t="s">
        <v>555</v>
      </c>
      <c r="J32" s="3" t="s">
        <v>556</v>
      </c>
      <c r="K32" s="3" t="s">
        <v>579</v>
      </c>
      <c r="L32" s="3" t="s">
        <v>557</v>
      </c>
      <c r="M32" s="3" t="s">
        <v>541</v>
      </c>
      <c r="N32" s="3" t="s">
        <v>553</v>
      </c>
      <c r="O32" s="3" t="s">
        <v>558</v>
      </c>
      <c r="P32" s="3" t="s">
        <v>533</v>
      </c>
      <c r="Q32" s="3" t="s">
        <v>540</v>
      </c>
      <c r="R32" s="5"/>
      <c r="S32" s="5"/>
      <c r="T32" s="5"/>
      <c r="U32" s="5"/>
      <c r="V32" s="5"/>
    </row>
    <row r="33" spans="7:22" x14ac:dyDescent="0.25">
      <c r="G33" s="23" t="s">
        <v>505</v>
      </c>
      <c r="H33" s="3" t="s">
        <v>529</v>
      </c>
      <c r="I33" s="3" t="s">
        <v>555</v>
      </c>
      <c r="J33" s="3" t="s">
        <v>541</v>
      </c>
      <c r="K33" s="3" t="s">
        <v>553</v>
      </c>
      <c r="L33" s="3" t="s">
        <v>533</v>
      </c>
      <c r="M33" s="3" t="s">
        <v>540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529</v>
      </c>
      <c r="I34" s="3" t="s">
        <v>555</v>
      </c>
      <c r="J34" s="3" t="s">
        <v>542</v>
      </c>
      <c r="K34" s="3" t="s">
        <v>553</v>
      </c>
      <c r="L34" s="3" t="s">
        <v>533</v>
      </c>
      <c r="M34" s="3" t="s">
        <v>540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554</v>
      </c>
      <c r="H35" s="3" t="s">
        <v>529</v>
      </c>
      <c r="I35" s="3" t="s">
        <v>555</v>
      </c>
      <c r="J35" s="3" t="s">
        <v>542</v>
      </c>
      <c r="K35" s="3" t="s">
        <v>553</v>
      </c>
      <c r="L35" s="3" t="s">
        <v>533</v>
      </c>
      <c r="M35" s="3" t="s">
        <v>540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529</v>
      </c>
      <c r="I36" s="3" t="s">
        <v>555</v>
      </c>
      <c r="J36" s="3" t="s">
        <v>542</v>
      </c>
      <c r="K36" s="3" t="s">
        <v>553</v>
      </c>
      <c r="L36" s="3" t="s">
        <v>533</v>
      </c>
      <c r="M36" s="3" t="s">
        <v>540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8wPU+jwrzhGiYAcmBHejjWl6fQqoViAC+/8qbAk22T2mM/wsjvyjUEvcT37vmkd3zdh8Zw37wfDqrRw39JFPdQ==" saltValue="x/FTaCfjNyecp24t8+hf5w==" spinCount="100000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  <dataValidation type="textLength" allowBlank="1" showInputMessage="1" showErrorMessage="1" errorTitle="Data Source" error="it can be accept 40 characters._x000a_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89" t="s">
        <v>568</v>
      </c>
      <c r="C2" s="91"/>
      <c r="D2" s="41" t="s">
        <v>663</v>
      </c>
      <c r="E2" s="1"/>
    </row>
    <row r="3" spans="1:5" ht="15" customHeight="1" x14ac:dyDescent="0.25">
      <c r="A3" s="6" t="s">
        <v>580</v>
      </c>
      <c r="B3" s="90" t="s">
        <v>669</v>
      </c>
      <c r="C3" s="92"/>
      <c r="D3" s="41" t="s">
        <v>663</v>
      </c>
      <c r="E3" s="1"/>
    </row>
    <row r="4" spans="1:5" ht="14.25" customHeight="1" x14ac:dyDescent="0.25">
      <c r="A4" s="6" t="s">
        <v>580</v>
      </c>
      <c r="B4" s="44" t="s">
        <v>666</v>
      </c>
      <c r="C4" s="93"/>
      <c r="D4" s="98"/>
      <c r="E4" s="1"/>
    </row>
    <row r="5" spans="1:5" ht="14.25" hidden="1" customHeight="1" x14ac:dyDescent="0.25">
      <c r="A5" s="6"/>
      <c r="B5" s="44"/>
      <c r="C5" s="93"/>
      <c r="D5" s="112">
        <f>D4</f>
        <v>0</v>
      </c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">
        <v>667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102</v>
      </c>
      <c r="E9" s="1"/>
    </row>
    <row r="10" spans="1:5" x14ac:dyDescent="0.25">
      <c r="A10" s="7"/>
      <c r="B10" s="43">
        <v>43191</v>
      </c>
      <c r="C10" s="43">
        <v>43220</v>
      </c>
      <c r="D10" s="31">
        <v>200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400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221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432</v>
      </c>
      <c r="E13" s="1"/>
    </row>
    <row r="14" spans="1:5" x14ac:dyDescent="0.25">
      <c r="A14" s="7"/>
      <c r="B14" s="43">
        <v>43313</v>
      </c>
      <c r="C14" s="43">
        <v>43343</v>
      </c>
      <c r="D14" s="31">
        <v>232</v>
      </c>
      <c r="E14" s="1"/>
    </row>
    <row r="15" spans="1:5" x14ac:dyDescent="0.25">
      <c r="A15" s="7"/>
      <c r="B15" s="43">
        <v>43344</v>
      </c>
      <c r="C15" s="43">
        <v>43373</v>
      </c>
      <c r="D15" s="31">
        <v>132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243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125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243</v>
      </c>
      <c r="E18" s="1"/>
    </row>
    <row r="19" spans="1:5" x14ac:dyDescent="0.25">
      <c r="A19" s="28"/>
      <c r="B19" s="33"/>
      <c r="C19" s="33"/>
      <c r="D19" s="36"/>
      <c r="E19" s="1"/>
    </row>
    <row r="20" spans="1:5" ht="4.5" customHeight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Z50seb50B6lMNptrVOMQNgj8bptkCgr1FVn9ybwDWYzmaD0LtdAm2phxGc9VK5Q69bqJ7wScB6YXD6AJFqtITA==" saltValue="1WSemSHqkQFwousrB8BClw==" spinCount="100000" sheet="1" objects="1" scenarios="1"/>
  <dataValidations count="4">
    <dataValidation allowBlank="1" showInputMessage="1" showErrorMessage="1" error="Please enter a valid date in mm/dd/yyyy format." sqref="B19:D21"/>
    <dataValidation type="decimal" allowBlank="1" showInputMessage="1" showErrorMessage="1" error="Please enter a valid reading." sqref="D7:D18">
      <formula1>0</formula1>
      <formula2>9999999999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  <dataValidation type="textLength" allowBlank="1" showInputMessage="1" showErrorMessage="1" errorTitle="Data Source" error="it can be accept 40 characters." sqref="D4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18</xdr:row>
                    <xdr:rowOff>190500</xdr:rowOff>
                  </from>
                  <to>
                    <xdr:col>3</xdr:col>
                    <xdr:colOff>9525</xdr:colOff>
                    <xdr:row>20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1"/>
      <c r="D2" s="41" t="s">
        <v>657</v>
      </c>
      <c r="E2" s="1"/>
    </row>
    <row r="3" spans="1:5" ht="15" customHeight="1" x14ac:dyDescent="0.25">
      <c r="A3" s="6" t="s">
        <v>580</v>
      </c>
      <c r="B3" s="122" t="s">
        <v>669</v>
      </c>
      <c r="C3" s="123"/>
      <c r="D3" s="41" t="s">
        <v>657</v>
      </c>
      <c r="E3" s="1"/>
    </row>
    <row r="4" spans="1:5" ht="15" customHeight="1" x14ac:dyDescent="0.25">
      <c r="A4" s="6"/>
      <c r="B4" s="95" t="s">
        <v>569</v>
      </c>
      <c r="C4" s="96"/>
      <c r="D4" s="41" t="s">
        <v>658</v>
      </c>
      <c r="E4" s="1"/>
    </row>
    <row r="5" spans="1:5" ht="14.25" customHeight="1" x14ac:dyDescent="0.25">
      <c r="A5" s="6" t="s">
        <v>580</v>
      </c>
      <c r="B5" s="124" t="s">
        <v>666</v>
      </c>
      <c r="C5" s="125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450</v>
      </c>
      <c r="E9" s="1"/>
    </row>
    <row r="10" spans="1:5" x14ac:dyDescent="0.25">
      <c r="A10" s="7"/>
      <c r="B10" s="43">
        <v>43191</v>
      </c>
      <c r="C10" s="43">
        <v>43220</v>
      </c>
      <c r="D10" s="31">
        <v>650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290</v>
      </c>
      <c r="E11" s="1"/>
    </row>
    <row r="12" spans="1:5" x14ac:dyDescent="0.25">
      <c r="A12" s="7"/>
      <c r="B12" s="43">
        <v>43252</v>
      </c>
      <c r="C12" s="43">
        <v>43281</v>
      </c>
      <c r="D12" s="31">
        <v>1200</v>
      </c>
      <c r="E12" s="1"/>
    </row>
    <row r="13" spans="1:5" x14ac:dyDescent="0.25">
      <c r="A13" s="7"/>
      <c r="B13" s="43">
        <v>43282</v>
      </c>
      <c r="C13" s="43">
        <v>43312</v>
      </c>
      <c r="D13" s="31">
        <v>238</v>
      </c>
      <c r="E13" s="1"/>
    </row>
    <row r="14" spans="1:5" x14ac:dyDescent="0.25">
      <c r="A14" s="7"/>
      <c r="B14" s="43">
        <v>43313</v>
      </c>
      <c r="C14" s="43">
        <v>43343</v>
      </c>
      <c r="D14" s="31">
        <v>780</v>
      </c>
      <c r="E14" s="1"/>
    </row>
    <row r="15" spans="1:5" x14ac:dyDescent="0.25">
      <c r="A15" s="7"/>
      <c r="B15" s="43">
        <v>43344</v>
      </c>
      <c r="C15" s="43">
        <v>43373</v>
      </c>
      <c r="D15" s="31">
        <v>248</v>
      </c>
      <c r="E15" s="1"/>
    </row>
    <row r="16" spans="1:5" x14ac:dyDescent="0.25">
      <c r="A16" s="7"/>
      <c r="B16" s="43">
        <v>43374</v>
      </c>
      <c r="C16" s="43">
        <v>43404</v>
      </c>
      <c r="D16" s="31">
        <v>432</v>
      </c>
      <c r="E16" s="1"/>
    </row>
    <row r="17" spans="1:5" x14ac:dyDescent="0.25">
      <c r="A17" s="7"/>
      <c r="B17" s="43">
        <v>43405</v>
      </c>
      <c r="C17" s="43">
        <v>43434</v>
      </c>
      <c r="D17" s="31">
        <v>530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278</v>
      </c>
      <c r="E18" s="1"/>
    </row>
    <row r="19" spans="1:5" ht="10.5" customHeight="1" x14ac:dyDescent="0.25">
      <c r="A19" s="28"/>
      <c r="B19" s="33"/>
      <c r="C19" s="33"/>
      <c r="D19" s="36"/>
      <c r="E19" s="1"/>
    </row>
    <row r="20" spans="1:5" hidden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oIX0mU6P9WHh8vPfQOP7MmFD/ZSHZuWC/7YvWqEHzEVmUU71dmeCAtFV05GirXNlqr3kUZnYp7yynhfkjaQu/g==" saltValue="+P3/sKi6xI89TyA1MHjomg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73415</formula2>
    </dataValidation>
    <dataValidation type="whole" allowBlank="1" showInputMessage="1" showErrorMessage="1" errorTitle="Period Consumption" error="Integers are only allowed in this fields" sqref="D7:D18">
      <formula1>0</formula1>
      <formula2>999999999999</formula2>
    </dataValidation>
    <dataValidation type="textLength" allowBlank="1" showInputMessage="1" showErrorMessage="1" errorTitle="Data Source" error="it can be accept 40 characters._x000a_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18</xdr:row>
                    <xdr:rowOff>190500</xdr:rowOff>
                  </from>
                  <to>
                    <xdr:col>3</xdr:col>
                    <xdr:colOff>9525</xdr:colOff>
                    <xdr:row>20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1"/>
      <c r="D2" s="41" t="s">
        <v>664</v>
      </c>
      <c r="E2" s="1"/>
    </row>
    <row r="3" spans="1:5" ht="15" customHeight="1" x14ac:dyDescent="0.25">
      <c r="A3" s="6" t="s">
        <v>580</v>
      </c>
      <c r="B3" s="122" t="s">
        <v>669</v>
      </c>
      <c r="C3" s="123"/>
      <c r="D3" s="41" t="s">
        <v>662</v>
      </c>
      <c r="E3" s="1"/>
    </row>
    <row r="4" spans="1:5" ht="15" customHeight="1" x14ac:dyDescent="0.25">
      <c r="A4" s="6"/>
      <c r="B4" s="95" t="s">
        <v>569</v>
      </c>
      <c r="C4" s="96"/>
      <c r="D4" s="41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5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0.8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0.2</v>
      </c>
      <c r="E8" s="1"/>
    </row>
    <row r="9" spans="1:5" x14ac:dyDescent="0.25">
      <c r="A9" s="7"/>
      <c r="B9" s="43">
        <v>43160</v>
      </c>
      <c r="C9" s="43">
        <v>43190</v>
      </c>
      <c r="D9" s="31">
        <v>1.2</v>
      </c>
      <c r="E9" s="1"/>
    </row>
    <row r="10" spans="1:5" x14ac:dyDescent="0.25">
      <c r="A10" s="7"/>
      <c r="B10" s="43">
        <v>43191</v>
      </c>
      <c r="C10" s="43">
        <v>43220</v>
      </c>
      <c r="D10" s="31">
        <v>21.1</v>
      </c>
      <c r="E10" s="1"/>
    </row>
    <row r="11" spans="1:5" x14ac:dyDescent="0.25">
      <c r="A11" s="7"/>
      <c r="B11" s="43">
        <v>43221</v>
      </c>
      <c r="C11" s="43">
        <v>43251</v>
      </c>
      <c r="D11" s="31">
        <v>34.5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23.2</v>
      </c>
      <c r="E12" s="1"/>
    </row>
    <row r="13" spans="1:5" x14ac:dyDescent="0.25">
      <c r="A13" s="7"/>
      <c r="B13" s="43">
        <v>43282</v>
      </c>
      <c r="C13" s="43">
        <v>43312</v>
      </c>
      <c r="D13" s="31">
        <v>12.4</v>
      </c>
      <c r="E13" s="1"/>
    </row>
    <row r="14" spans="1:5" x14ac:dyDescent="0.25">
      <c r="A14" s="7"/>
      <c r="B14" s="43">
        <v>43313</v>
      </c>
      <c r="C14" s="43">
        <v>43343</v>
      </c>
      <c r="D14" s="31">
        <v>0.34</v>
      </c>
      <c r="E14" s="1"/>
    </row>
    <row r="15" spans="1:5" x14ac:dyDescent="0.25">
      <c r="A15" s="7"/>
      <c r="B15" s="43">
        <v>43344</v>
      </c>
      <c r="C15" s="43">
        <v>43373</v>
      </c>
      <c r="D15" s="31">
        <v>4.21</v>
      </c>
      <c r="E15" s="1"/>
    </row>
    <row r="16" spans="1:5" x14ac:dyDescent="0.25">
      <c r="A16" s="7"/>
      <c r="B16" s="43">
        <v>43374</v>
      </c>
      <c r="C16" s="43">
        <v>43404</v>
      </c>
      <c r="D16" s="31">
        <v>90.000200000000007</v>
      </c>
      <c r="E16" s="1"/>
    </row>
    <row r="17" spans="1:5" x14ac:dyDescent="0.25">
      <c r="A17" s="7"/>
      <c r="B17" s="43">
        <v>43405</v>
      </c>
      <c r="C17" s="43">
        <v>43434</v>
      </c>
      <c r="D17" s="31">
        <v>12.11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2.23</v>
      </c>
      <c r="E18" s="1"/>
    </row>
    <row r="19" spans="1:5" x14ac:dyDescent="0.25">
      <c r="A19" s="28"/>
      <c r="B19" s="33"/>
      <c r="C19" s="33"/>
      <c r="D19" s="36"/>
      <c r="E19" s="1"/>
    </row>
    <row r="20" spans="1:5" hidden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uagOS/Xu09aqmS7JgDMg8ot/H6QZG43YmKrx53nC53WUJmLIg2v86IDcn2+d2NGRuMQn3VtiubbCbUDwNad3gA==" saltValue="+ZaHVUCIMc+jqhD9BLTMxQ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73415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textLength" allowBlank="1" showInputMessage="1" showErrorMessage="1" errorTitle=" Data Source" error="it can be accept 40 characters._x000a_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E21"/>
  <sheetViews>
    <sheetView tabSelected="1"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41" t="s">
        <v>665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41" t="s">
        <v>662</v>
      </c>
      <c r="E3" s="1"/>
    </row>
    <row r="4" spans="1:5" ht="15" customHeight="1" x14ac:dyDescent="0.25">
      <c r="A4" s="6"/>
      <c r="B4" s="122" t="s">
        <v>569</v>
      </c>
      <c r="C4" s="127"/>
      <c r="D4" s="41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223</v>
      </c>
      <c r="E8" s="1"/>
    </row>
    <row r="9" spans="1:5" x14ac:dyDescent="0.25">
      <c r="A9" s="7"/>
      <c r="B9" s="43">
        <v>43160</v>
      </c>
      <c r="C9" s="43">
        <v>43190</v>
      </c>
      <c r="D9" s="31">
        <v>129</v>
      </c>
      <c r="E9" s="1"/>
    </row>
    <row r="10" spans="1:5" x14ac:dyDescent="0.25">
      <c r="A10" s="7"/>
      <c r="B10" s="43">
        <v>43191</v>
      </c>
      <c r="C10" s="43">
        <v>43220</v>
      </c>
      <c r="D10" s="31">
        <v>340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342</v>
      </c>
      <c r="E11" s="1"/>
    </row>
    <row r="12" spans="1:5" x14ac:dyDescent="0.25">
      <c r="A12" s="7"/>
      <c r="B12" s="43">
        <v>43252</v>
      </c>
      <c r="C12" s="43">
        <v>43281</v>
      </c>
      <c r="D12" s="31">
        <v>123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432</v>
      </c>
      <c r="E13" s="1"/>
    </row>
    <row r="14" spans="1:5" x14ac:dyDescent="0.25">
      <c r="A14" s="7"/>
      <c r="B14" s="43">
        <v>43313</v>
      </c>
      <c r="C14" s="43">
        <v>43343</v>
      </c>
      <c r="D14" s="31">
        <v>231</v>
      </c>
      <c r="E14" s="1"/>
    </row>
    <row r="15" spans="1:5" x14ac:dyDescent="0.25">
      <c r="A15" s="7"/>
      <c r="B15" s="43">
        <v>43344</v>
      </c>
      <c r="C15" s="43">
        <v>43373</v>
      </c>
      <c r="D15" s="31">
        <v>126</v>
      </c>
      <c r="E15" s="1"/>
    </row>
    <row r="16" spans="1:5" x14ac:dyDescent="0.25">
      <c r="A16" s="7"/>
      <c r="B16" s="43">
        <v>43374</v>
      </c>
      <c r="C16" s="43">
        <v>43404</v>
      </c>
      <c r="D16" s="31">
        <v>324</v>
      </c>
      <c r="E16" s="1"/>
    </row>
    <row r="17" spans="1:5" x14ac:dyDescent="0.25">
      <c r="A17" s="7"/>
      <c r="B17" s="43">
        <v>43405</v>
      </c>
      <c r="C17" s="43">
        <v>43434</v>
      </c>
      <c r="D17" s="31">
        <v>421</v>
      </c>
      <c r="E17" s="1"/>
    </row>
    <row r="18" spans="1:5" x14ac:dyDescent="0.25">
      <c r="A18" s="7"/>
      <c r="B18" s="43">
        <v>43435</v>
      </c>
      <c r="C18" s="43">
        <v>43465</v>
      </c>
      <c r="D18" s="31">
        <v>123</v>
      </c>
      <c r="E18" s="1"/>
    </row>
    <row r="19" spans="1:5" x14ac:dyDescent="0.25">
      <c r="A19" s="28"/>
      <c r="B19" s="33"/>
      <c r="C19" s="33"/>
      <c r="D19" s="36"/>
      <c r="E19" s="1"/>
    </row>
    <row r="20" spans="1:5" ht="2.25" customHeight="1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TOw1jyRWEqV0iT2sqD+9Xo2Mny5e9nSfUgvSHtZuePFKuf2QATkIMzBu5wb/ElZGj4aEYnPas/LJYLWZTbLJ6A==" saltValue="UObo55b+1+sJr7WrlDxDAQ==" spinCount="100000" sheet="1" objects="1" scenarios="1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73415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18</xdr:row>
                    <xdr:rowOff>190500</xdr:rowOff>
                  </from>
                  <to>
                    <xdr:col>3</xdr:col>
                    <xdr:colOff>9525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94" t="s">
        <v>660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94" t="s">
        <v>660</v>
      </c>
      <c r="E3" s="1"/>
    </row>
    <row r="4" spans="1:5" ht="15" customHeight="1" x14ac:dyDescent="0.25">
      <c r="A4" s="6"/>
      <c r="B4" s="95" t="s">
        <v>569</v>
      </c>
      <c r="C4" s="97"/>
      <c r="D4" s="94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253</v>
      </c>
      <c r="E9" s="1"/>
    </row>
    <row r="10" spans="1:5" x14ac:dyDescent="0.25">
      <c r="A10" s="7"/>
      <c r="B10" s="43">
        <v>43191</v>
      </c>
      <c r="C10" s="43">
        <v>43220</v>
      </c>
      <c r="D10" s="31">
        <v>532</v>
      </c>
      <c r="E10" s="1"/>
    </row>
    <row r="11" spans="1:5" x14ac:dyDescent="0.25">
      <c r="A11" s="7"/>
      <c r="B11" s="43">
        <v>43221</v>
      </c>
      <c r="C11" s="43">
        <v>43251</v>
      </c>
      <c r="D11" s="31">
        <v>12.21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24.21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45.55</v>
      </c>
      <c r="E13" s="1"/>
    </row>
    <row r="14" spans="1:5" x14ac:dyDescent="0.25">
      <c r="A14" s="7"/>
      <c r="B14" s="43">
        <v>43313</v>
      </c>
      <c r="C14" s="43">
        <v>43343</v>
      </c>
      <c r="D14" s="31">
        <v>332.1</v>
      </c>
      <c r="E14" s="1"/>
    </row>
    <row r="15" spans="1:5" x14ac:dyDescent="0.25">
      <c r="A15" s="7"/>
      <c r="B15" s="43">
        <v>43344</v>
      </c>
      <c r="C15" s="43">
        <v>43373</v>
      </c>
      <c r="D15" s="31">
        <v>402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253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12.11</v>
      </c>
      <c r="E17" s="1"/>
    </row>
    <row r="18" spans="1:5" x14ac:dyDescent="0.25">
      <c r="A18" s="7"/>
      <c r="B18" s="43">
        <v>43435</v>
      </c>
      <c r="C18" s="43">
        <v>43465</v>
      </c>
      <c r="D18" s="31">
        <v>832</v>
      </c>
      <c r="E18" s="1"/>
    </row>
    <row r="19" spans="1:5" x14ac:dyDescent="0.25">
      <c r="A19" s="28"/>
      <c r="B19" s="33"/>
      <c r="C19" s="33"/>
      <c r="D19" s="36"/>
      <c r="E19" s="1"/>
    </row>
    <row r="20" spans="1:5" x14ac:dyDescent="0.25">
      <c r="A20" s="7">
        <v>0</v>
      </c>
      <c r="B20" s="35"/>
      <c r="C20" s="35"/>
      <c r="D20" s="38"/>
      <c r="E20" s="1"/>
    </row>
    <row r="21" spans="1:5" ht="25.5" customHeight="1" x14ac:dyDescent="0.25">
      <c r="A21" s="6" t="s">
        <v>549</v>
      </c>
      <c r="B21" s="34"/>
      <c r="C21" s="34"/>
      <c r="D21" s="34"/>
      <c r="E21" s="1"/>
    </row>
  </sheetData>
  <sheetProtection algorithmName="SHA-512" hashValue="n3Djjl8XjZWgfjQRq16B87JVLObxFE+nMO3UMmaDSRv/cZ88TIxom6KXx6VYa79HoCQwAC32W4TDUeb790cTHA==" saltValue="BCIasy1HTVY1AIVZY/kW6g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73415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2</xdr:col>
                    <xdr:colOff>1314450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94" t="s">
        <v>661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94" t="s">
        <v>661</v>
      </c>
      <c r="E3" s="1"/>
    </row>
    <row r="4" spans="1:5" ht="15" customHeight="1" x14ac:dyDescent="0.25">
      <c r="A4" s="6"/>
      <c r="B4" s="95" t="s">
        <v>569</v>
      </c>
      <c r="C4" s="97"/>
      <c r="D4" s="94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212.11</v>
      </c>
      <c r="E9" s="1"/>
    </row>
    <row r="10" spans="1:5" x14ac:dyDescent="0.25">
      <c r="A10" s="7"/>
      <c r="B10" s="43">
        <v>43191</v>
      </c>
      <c r="C10" s="43">
        <v>43220</v>
      </c>
      <c r="D10" s="31">
        <v>33.111130000000003</v>
      </c>
      <c r="E10" s="1"/>
    </row>
    <row r="11" spans="1:5" x14ac:dyDescent="0.25">
      <c r="A11" s="7"/>
      <c r="B11" s="43">
        <v>43221</v>
      </c>
      <c r="C11" s="43">
        <v>43251</v>
      </c>
      <c r="D11" s="31">
        <v>1221.2</v>
      </c>
      <c r="E11" s="1"/>
    </row>
    <row r="12" spans="1:5" x14ac:dyDescent="0.25">
      <c r="A12" s="7"/>
      <c r="B12" s="43">
        <v>43252</v>
      </c>
      <c r="C12" s="43">
        <v>43281</v>
      </c>
      <c r="D12" s="31">
        <v>322.39999999999998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452.21</v>
      </c>
      <c r="E13" s="1"/>
    </row>
    <row r="14" spans="1:5" x14ac:dyDescent="0.25">
      <c r="A14" s="7"/>
      <c r="B14" s="43">
        <v>43313</v>
      </c>
      <c r="C14" s="43">
        <v>43343</v>
      </c>
      <c r="D14" s="31">
        <v>123</v>
      </c>
      <c r="E14" s="1"/>
    </row>
    <row r="15" spans="1:5" x14ac:dyDescent="0.25">
      <c r="A15" s="7"/>
      <c r="B15" s="43">
        <v>43344</v>
      </c>
      <c r="C15" s="43">
        <v>43373</v>
      </c>
      <c r="D15" s="31">
        <v>453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211</v>
      </c>
      <c r="E16" s="1"/>
    </row>
    <row r="17" spans="1:5" x14ac:dyDescent="0.25">
      <c r="A17" s="7"/>
      <c r="B17" s="43">
        <v>43405</v>
      </c>
      <c r="C17" s="43">
        <v>43434</v>
      </c>
      <c r="D17" s="31">
        <v>563</v>
      </c>
      <c r="E17" s="1"/>
    </row>
    <row r="18" spans="1:5" x14ac:dyDescent="0.25">
      <c r="A18" s="7"/>
      <c r="B18" s="43">
        <v>43435</v>
      </c>
      <c r="C18" s="43">
        <v>43465</v>
      </c>
      <c r="D18" s="31">
        <v>21.23</v>
      </c>
      <c r="E18" s="1"/>
    </row>
    <row r="19" spans="1:5" x14ac:dyDescent="0.25">
      <c r="A19" s="28"/>
      <c r="B19" s="33"/>
      <c r="C19" s="33"/>
      <c r="D19" s="36"/>
      <c r="E19" s="37"/>
    </row>
    <row r="20" spans="1:5" x14ac:dyDescent="0.25">
      <c r="A20" s="7">
        <v>0</v>
      </c>
      <c r="B20" s="35"/>
      <c r="C20" s="35"/>
      <c r="D20" s="38"/>
      <c r="E20" s="39"/>
    </row>
    <row r="21" spans="1:5" ht="25.5" customHeight="1" x14ac:dyDescent="0.25">
      <c r="A21" s="6" t="s">
        <v>549</v>
      </c>
      <c r="B21" s="34"/>
      <c r="C21" s="34"/>
      <c r="D21" s="34"/>
      <c r="E21" s="40"/>
    </row>
  </sheetData>
  <sheetProtection algorithmName="SHA-512" hashValue="n+WqLceDN5CaFFLrnmHAamDCFp7p9sTAGqh+YqA5crtchn1M9iZmK9/iQzsWvgokqS0B9491lC5PHRZgXX9Hhg==" saltValue="DAKiIyQPMJNtNPlUJIZDAg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/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73415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textLength" allowBlank="1" showInputMessage="1" showErrorMessage="1" errorTitle=" 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94" t="s">
        <v>655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94" t="s">
        <v>655</v>
      </c>
      <c r="E3" s="1"/>
    </row>
    <row r="4" spans="1:5" ht="15" customHeight="1" x14ac:dyDescent="0.25">
      <c r="A4" s="6"/>
      <c r="B4" s="95" t="s">
        <v>569</v>
      </c>
      <c r="C4" s="97"/>
      <c r="D4" s="94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222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232</v>
      </c>
      <c r="E8" s="1"/>
    </row>
    <row r="9" spans="1:5" x14ac:dyDescent="0.25">
      <c r="A9" s="7"/>
      <c r="B9" s="43">
        <v>43160</v>
      </c>
      <c r="C9" s="43">
        <v>43190</v>
      </c>
      <c r="D9" s="31">
        <v>231</v>
      </c>
      <c r="E9" s="1"/>
    </row>
    <row r="10" spans="1:5" x14ac:dyDescent="0.25">
      <c r="A10" s="7"/>
      <c r="B10" s="43">
        <v>43191</v>
      </c>
      <c r="C10" s="43">
        <v>43220</v>
      </c>
      <c r="D10" s="31">
        <v>234</v>
      </c>
      <c r="E10" s="1"/>
    </row>
    <row r="11" spans="1:5" x14ac:dyDescent="0.25">
      <c r="A11" s="7"/>
      <c r="B11" s="43">
        <v>43221</v>
      </c>
      <c r="C11" s="43">
        <v>43251</v>
      </c>
      <c r="D11" s="31">
        <v>21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223</v>
      </c>
      <c r="E12" s="1"/>
    </row>
    <row r="13" spans="1:5" x14ac:dyDescent="0.25">
      <c r="A13" s="7"/>
      <c r="B13" s="43">
        <v>43282</v>
      </c>
      <c r="C13" s="43">
        <v>43312</v>
      </c>
      <c r="D13" s="31">
        <v>443</v>
      </c>
      <c r="E13" s="1"/>
    </row>
    <row r="14" spans="1:5" x14ac:dyDescent="0.25">
      <c r="A14" s="7"/>
      <c r="B14" s="43">
        <v>43313</v>
      </c>
      <c r="C14" s="43">
        <v>43343</v>
      </c>
      <c r="D14" s="31">
        <v>543</v>
      </c>
      <c r="E14" s="1"/>
    </row>
    <row r="15" spans="1:5" x14ac:dyDescent="0.25">
      <c r="A15" s="7"/>
      <c r="B15" s="43">
        <v>43344</v>
      </c>
      <c r="C15" s="43">
        <v>43373</v>
      </c>
      <c r="D15" s="31">
        <v>1212</v>
      </c>
      <c r="E15" s="1"/>
    </row>
    <row r="16" spans="1:5" x14ac:dyDescent="0.25">
      <c r="A16" s="7"/>
      <c r="B16" s="43">
        <v>43374</v>
      </c>
      <c r="C16" s="43">
        <v>43404</v>
      </c>
      <c r="D16" s="31">
        <v>343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234</v>
      </c>
      <c r="E17" s="1"/>
    </row>
    <row r="18" spans="1:5" x14ac:dyDescent="0.25">
      <c r="A18" s="7"/>
      <c r="B18" s="43">
        <v>43435</v>
      </c>
      <c r="C18" s="43">
        <v>43465</v>
      </c>
      <c r="D18" s="31">
        <v>543</v>
      </c>
      <c r="E18" s="1"/>
    </row>
    <row r="19" spans="1:5" x14ac:dyDescent="0.25">
      <c r="A19" s="28"/>
      <c r="B19" s="33"/>
      <c r="C19" s="33"/>
      <c r="D19" s="36"/>
      <c r="E19" s="37"/>
    </row>
    <row r="20" spans="1:5" x14ac:dyDescent="0.25">
      <c r="A20" s="7">
        <v>0</v>
      </c>
      <c r="B20" s="35"/>
      <c r="C20" s="35"/>
      <c r="D20" s="38"/>
      <c r="E20" s="39"/>
    </row>
    <row r="21" spans="1:5" ht="25.5" customHeight="1" x14ac:dyDescent="0.25">
      <c r="A21" s="6" t="s">
        <v>549</v>
      </c>
      <c r="B21" s="34"/>
      <c r="C21" s="34"/>
      <c r="D21" s="34"/>
      <c r="E21" s="40"/>
    </row>
  </sheetData>
  <sheetProtection algorithmName="SHA-512" hashValue="04ZsuMQv6mRMSCCnzc9wy/N16Z3HmG+U33p+bp3gqnCpkOxG5KA7ksVh3NRyqLsMWMkKpJkKVgcYFKI1s9GdzA==" saltValue="oBeMReS3bEIj4GHk3anwlw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/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73415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textLength" allowBlank="1" showInputMessage="1" showErrorMessage="1" errorTitle="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21"/>
  <sheetViews>
    <sheetView workbookViewId="0">
      <selection activeCell="B16" sqref="B16:C18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0" t="s">
        <v>568</v>
      </c>
      <c r="C2" s="126"/>
      <c r="D2" s="41" t="s">
        <v>659</v>
      </c>
      <c r="E2" s="1"/>
    </row>
    <row r="3" spans="1:5" ht="15" customHeight="1" x14ac:dyDescent="0.25">
      <c r="A3" s="6" t="s">
        <v>580</v>
      </c>
      <c r="B3" s="122" t="s">
        <v>669</v>
      </c>
      <c r="C3" s="127"/>
      <c r="D3" s="41" t="s">
        <v>659</v>
      </c>
      <c r="E3" s="1"/>
    </row>
    <row r="4" spans="1:5" ht="15" customHeight="1" x14ac:dyDescent="0.25">
      <c r="A4" s="6"/>
      <c r="B4" s="95" t="s">
        <v>569</v>
      </c>
      <c r="C4" s="97"/>
      <c r="D4" s="41" t="s">
        <v>656</v>
      </c>
      <c r="E4" s="1"/>
    </row>
    <row r="5" spans="1:5" ht="14.25" customHeight="1" x14ac:dyDescent="0.25">
      <c r="A5" s="6" t="s">
        <v>580</v>
      </c>
      <c r="B5" s="124" t="s">
        <v>666</v>
      </c>
      <c r="C5" s="128"/>
      <c r="D5" s="101"/>
      <c r="E5" s="1"/>
    </row>
    <row r="6" spans="1:5" ht="28.5" customHeight="1" x14ac:dyDescent="0.25">
      <c r="A6" s="6">
        <v>21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43101</v>
      </c>
      <c r="C7" s="43">
        <v>43131</v>
      </c>
      <c r="D7" s="31">
        <v>322</v>
      </c>
      <c r="E7" s="1"/>
    </row>
    <row r="8" spans="1:5" x14ac:dyDescent="0.25">
      <c r="A8" s="7">
        <v>0</v>
      </c>
      <c r="B8" s="43">
        <v>43132</v>
      </c>
      <c r="C8" s="43">
        <v>43159</v>
      </c>
      <c r="D8" s="31">
        <v>323</v>
      </c>
      <c r="E8" s="1"/>
    </row>
    <row r="9" spans="1:5" x14ac:dyDescent="0.25">
      <c r="A9" s="7"/>
      <c r="B9" s="43">
        <v>43160</v>
      </c>
      <c r="C9" s="43">
        <v>43190</v>
      </c>
      <c r="D9" s="31">
        <v>122</v>
      </c>
      <c r="E9" s="1"/>
    </row>
    <row r="10" spans="1:5" x14ac:dyDescent="0.25">
      <c r="A10" s="7"/>
      <c r="B10" s="43">
        <v>43191</v>
      </c>
      <c r="C10" s="43">
        <v>43220</v>
      </c>
      <c r="D10" s="31">
        <v>321</v>
      </c>
      <c r="E10" s="1"/>
    </row>
    <row r="11" spans="1:5" x14ac:dyDescent="0.25">
      <c r="A11" s="7"/>
      <c r="B11" s="43">
        <v>43221</v>
      </c>
      <c r="C11" s="43">
        <v>43251</v>
      </c>
      <c r="D11" s="31">
        <v>232</v>
      </c>
      <c r="E11" s="1"/>
    </row>
    <row r="12" spans="1:5" x14ac:dyDescent="0.25">
      <c r="A12" s="7"/>
      <c r="B12" s="43">
        <v>43252</v>
      </c>
      <c r="C12" s="43">
        <v>43281</v>
      </c>
      <c r="D12" s="31">
        <v>313</v>
      </c>
      <c r="E12" s="1"/>
    </row>
    <row r="13" spans="1:5" x14ac:dyDescent="0.25">
      <c r="A13" s="7"/>
      <c r="B13" s="43">
        <v>43282</v>
      </c>
      <c r="C13" s="43">
        <v>43312</v>
      </c>
      <c r="D13" s="31">
        <v>531</v>
      </c>
      <c r="E13" s="1"/>
    </row>
    <row r="14" spans="1:5" x14ac:dyDescent="0.25">
      <c r="A14" s="7"/>
      <c r="B14" s="43">
        <v>43313</v>
      </c>
      <c r="C14" s="43">
        <v>43343</v>
      </c>
      <c r="D14" s="31">
        <v>321</v>
      </c>
      <c r="E14" s="1"/>
    </row>
    <row r="15" spans="1:5" x14ac:dyDescent="0.25">
      <c r="A15" s="7"/>
      <c r="B15" s="43">
        <v>43344</v>
      </c>
      <c r="C15" s="43">
        <v>43373</v>
      </c>
      <c r="D15" s="31">
        <v>231</v>
      </c>
      <c r="E15" s="1"/>
    </row>
    <row r="16" spans="1:5" x14ac:dyDescent="0.25">
      <c r="A16" s="7"/>
      <c r="B16" s="43">
        <v>43374</v>
      </c>
      <c r="C16" s="43">
        <v>43404</v>
      </c>
      <c r="D16" s="31">
        <v>233</v>
      </c>
      <c r="E16" s="1"/>
    </row>
    <row r="17" spans="1:5" x14ac:dyDescent="0.25">
      <c r="A17" s="7"/>
      <c r="B17" s="43">
        <v>43405</v>
      </c>
      <c r="C17" s="43">
        <v>43434</v>
      </c>
      <c r="D17" s="31">
        <v>432</v>
      </c>
      <c r="E17" s="1"/>
    </row>
    <row r="18" spans="1:5" x14ac:dyDescent="0.25">
      <c r="A18" s="7"/>
      <c r="B18" s="43">
        <v>43435</v>
      </c>
      <c r="C18" s="43">
        <v>43465</v>
      </c>
      <c r="D18" s="31">
        <v>121</v>
      </c>
      <c r="E18" s="1"/>
    </row>
    <row r="19" spans="1:5" x14ac:dyDescent="0.25">
      <c r="A19" s="28"/>
      <c r="B19" s="33"/>
      <c r="C19" s="33"/>
      <c r="D19" s="36"/>
      <c r="E19" s="37"/>
    </row>
    <row r="20" spans="1:5" x14ac:dyDescent="0.25">
      <c r="A20" s="7">
        <v>0</v>
      </c>
      <c r="B20" s="35"/>
      <c r="C20" s="35"/>
      <c r="D20" s="38"/>
      <c r="E20" s="39"/>
    </row>
    <row r="21" spans="1:5" ht="25.5" customHeight="1" x14ac:dyDescent="0.25">
      <c r="A21" s="6" t="s">
        <v>549</v>
      </c>
      <c r="B21" s="34"/>
      <c r="C21" s="34"/>
      <c r="D21" s="34"/>
      <c r="E21" s="40"/>
    </row>
  </sheetData>
  <sheetProtection algorithmName="SHA-512" hashValue="WEbjWcSue2K6CbcfhHk4ts0OqtI81tQUGpR09xgIUKpgmNxeUgGQfYKUFp41bwIOJwp7XpLJYRTMyjWgQNEAGg==" saltValue="OAfmvdHi/vjR+bLPsFftHA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/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73415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textLength" allowBlank="1" showInputMessage="1" showErrorMessage="1" errorTitle="Data Source" error="it can be accept 40 characters." sqref="D5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18</xdr:row>
                    <xdr:rowOff>190500</xdr:rowOff>
                  </from>
                  <to>
                    <xdr:col>2</xdr:col>
                    <xdr:colOff>9525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580</v>
      </c>
      <c r="B1" s="1"/>
      <c r="C1" s="1"/>
      <c r="D1" s="1"/>
      <c r="E1" s="1"/>
      <c r="F1" s="1"/>
    </row>
    <row r="2" spans="1:6" x14ac:dyDescent="0.25">
      <c r="A2" s="6" t="s">
        <v>580</v>
      </c>
      <c r="B2" s="129" t="s">
        <v>568</v>
      </c>
      <c r="C2" s="130"/>
      <c r="D2" s="131"/>
      <c r="E2" s="42" t="s">
        <v>575</v>
      </c>
      <c r="F2" s="1"/>
    </row>
    <row r="3" spans="1:6" ht="15" customHeight="1" x14ac:dyDescent="0.25">
      <c r="A3" s="6" t="s">
        <v>580</v>
      </c>
      <c r="B3" s="132" t="s">
        <v>669</v>
      </c>
      <c r="C3" s="133"/>
      <c r="D3" s="134"/>
      <c r="E3" s="42" t="s">
        <v>559</v>
      </c>
      <c r="F3" s="1"/>
    </row>
    <row r="4" spans="1:6" ht="14.25" customHeight="1" x14ac:dyDescent="0.25">
      <c r="A4" s="6" t="s">
        <v>580</v>
      </c>
      <c r="B4" s="25" t="s">
        <v>569</v>
      </c>
      <c r="C4" s="26"/>
      <c r="D4" s="27"/>
      <c r="E4" s="29" t="s">
        <v>563</v>
      </c>
      <c r="F4" s="1"/>
    </row>
    <row r="5" spans="1:6" x14ac:dyDescent="0.25">
      <c r="A5" s="6" t="s">
        <v>580</v>
      </c>
      <c r="B5" s="1"/>
      <c r="C5" s="1"/>
      <c r="D5" s="1"/>
      <c r="E5" s="1"/>
      <c r="F5" s="1"/>
    </row>
    <row r="6" spans="1:6" ht="25.5" x14ac:dyDescent="0.25">
      <c r="A6" s="6">
        <v>21</v>
      </c>
      <c r="B6" s="4" t="s">
        <v>547</v>
      </c>
      <c r="C6" s="4" t="s">
        <v>548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43101</v>
      </c>
      <c r="C7" s="43">
        <v>43131</v>
      </c>
      <c r="D7" s="31">
        <v>100</v>
      </c>
      <c r="E7" s="30">
        <v>99</v>
      </c>
      <c r="F7" s="1"/>
    </row>
    <row r="8" spans="1:6" x14ac:dyDescent="0.25">
      <c r="A8" s="6">
        <v>0</v>
      </c>
      <c r="B8" s="43">
        <v>43132</v>
      </c>
      <c r="C8" s="43">
        <v>43159</v>
      </c>
      <c r="D8" s="31">
        <v>200</v>
      </c>
      <c r="E8" s="30">
        <v>88</v>
      </c>
      <c r="F8" s="1"/>
    </row>
    <row r="9" spans="1:6" x14ac:dyDescent="0.25">
      <c r="A9" s="6"/>
      <c r="B9" s="43">
        <v>43160</v>
      </c>
      <c r="C9" s="43">
        <v>43190</v>
      </c>
      <c r="D9" s="31">
        <v>300</v>
      </c>
      <c r="E9" s="30">
        <v>222</v>
      </c>
      <c r="F9" s="1"/>
    </row>
    <row r="10" spans="1:6" x14ac:dyDescent="0.25">
      <c r="A10" s="6"/>
      <c r="B10" s="43">
        <v>43191</v>
      </c>
      <c r="C10" s="43">
        <v>43220</v>
      </c>
      <c r="D10" s="31">
        <v>200</v>
      </c>
      <c r="E10" s="30">
        <v>100</v>
      </c>
      <c r="F10" s="1"/>
    </row>
    <row r="11" spans="1:6" x14ac:dyDescent="0.25">
      <c r="A11" s="6"/>
      <c r="B11" s="43">
        <v>43221</v>
      </c>
      <c r="C11" s="43">
        <v>43251</v>
      </c>
      <c r="D11" s="31">
        <v>300</v>
      </c>
      <c r="E11" s="30">
        <v>299</v>
      </c>
      <c r="F11" s="1"/>
    </row>
    <row r="12" spans="1:6" x14ac:dyDescent="0.25">
      <c r="A12" s="6"/>
      <c r="B12" s="43">
        <v>43252</v>
      </c>
      <c r="C12" s="43">
        <v>43281</v>
      </c>
      <c r="D12" s="31">
        <v>100</v>
      </c>
      <c r="E12" s="30">
        <v>99</v>
      </c>
      <c r="F12" s="1"/>
    </row>
    <row r="13" spans="1:6" x14ac:dyDescent="0.25">
      <c r="A13" s="6"/>
      <c r="B13" s="43">
        <v>43282</v>
      </c>
      <c r="C13" s="43">
        <v>43312</v>
      </c>
      <c r="D13" s="31">
        <v>200</v>
      </c>
      <c r="E13" s="30">
        <v>199</v>
      </c>
      <c r="F13" s="1"/>
    </row>
    <row r="14" spans="1:6" x14ac:dyDescent="0.25">
      <c r="A14" s="6"/>
      <c r="B14" s="43">
        <v>43313</v>
      </c>
      <c r="C14" s="43">
        <v>43343</v>
      </c>
      <c r="D14" s="31">
        <v>100</v>
      </c>
      <c r="E14" s="30">
        <v>99</v>
      </c>
      <c r="F14" s="1"/>
    </row>
    <row r="15" spans="1:6" x14ac:dyDescent="0.25">
      <c r="A15" s="6"/>
      <c r="B15" s="43">
        <v>43344</v>
      </c>
      <c r="C15" s="43">
        <v>43373</v>
      </c>
      <c r="D15" s="31">
        <v>200</v>
      </c>
      <c r="E15" s="30">
        <v>199</v>
      </c>
      <c r="F15" s="1"/>
    </row>
    <row r="16" spans="1:6" x14ac:dyDescent="0.25">
      <c r="A16" s="6"/>
      <c r="B16" s="43">
        <v>43374</v>
      </c>
      <c r="C16" s="43">
        <v>43404</v>
      </c>
      <c r="D16" s="31">
        <v>200</v>
      </c>
      <c r="E16" s="30">
        <v>199</v>
      </c>
      <c r="F16" s="1"/>
    </row>
    <row r="17" spans="1:9" x14ac:dyDescent="0.25">
      <c r="A17" s="6"/>
      <c r="B17" s="43">
        <v>43405</v>
      </c>
      <c r="C17" s="43">
        <v>43434</v>
      </c>
      <c r="D17" s="31">
        <v>222</v>
      </c>
      <c r="E17" s="30">
        <v>200</v>
      </c>
      <c r="F17" s="1"/>
    </row>
    <row r="18" spans="1:9" x14ac:dyDescent="0.25">
      <c r="A18" s="6"/>
      <c r="B18" s="43">
        <v>43435</v>
      </c>
      <c r="C18" s="43">
        <v>43465</v>
      </c>
      <c r="D18" s="31">
        <v>300</v>
      </c>
      <c r="E18" s="30">
        <v>200</v>
      </c>
      <c r="F18" s="1"/>
    </row>
    <row r="19" spans="1:9" x14ac:dyDescent="0.25">
      <c r="A19" s="28"/>
      <c r="B19" s="33"/>
      <c r="C19" s="33"/>
      <c r="D19" s="36"/>
      <c r="E19" s="37"/>
      <c r="F19" s="1"/>
    </row>
    <row r="20" spans="1:9" hidden="1" x14ac:dyDescent="0.25">
      <c r="A20" s="7">
        <v>0</v>
      </c>
      <c r="B20" s="35"/>
      <c r="C20" s="35"/>
      <c r="D20" s="38"/>
      <c r="E20" s="39"/>
      <c r="F20" s="1"/>
    </row>
    <row r="21" spans="1:9" ht="25.5" customHeight="1" x14ac:dyDescent="0.25">
      <c r="A21" s="6" t="s">
        <v>549</v>
      </c>
      <c r="B21" s="34"/>
      <c r="C21" s="34"/>
      <c r="D21" s="34"/>
      <c r="E21" s="40"/>
      <c r="F21" s="1"/>
    </row>
    <row r="23" spans="1:9" x14ac:dyDescent="0.25">
      <c r="I23" s="3" t="s">
        <v>563</v>
      </c>
    </row>
    <row r="24" spans="1:9" x14ac:dyDescent="0.25">
      <c r="I24" s="3" t="s">
        <v>558</v>
      </c>
    </row>
    <row r="25" spans="1:9" x14ac:dyDescent="0.25">
      <c r="I25" s="3" t="s">
        <v>543</v>
      </c>
    </row>
  </sheetData>
  <sheetProtection algorithmName="SHA-512" hashValue="Ou6Hmccry/EQVNlq514fkCBtEBlyDfAAVRve1CF2WAmzFzc9QW+vkyQpHP4mygZHlFyfSN8Flg4oZZKXcoS2QQ==" saltValue="+eVSJL7jcLvqO+vLZ8x1VA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19:D21"/>
    <dataValidation type="date" allowBlank="1" showInputMessage="1" showErrorMessage="1" error="Please enter a valid date in mm/dd/yyyy format." sqref="B7:C18">
      <formula1>1</formula1>
      <formula2>54789</formula2>
    </dataValidation>
    <dataValidation type="decimal" allowBlank="1" showInputMessage="1" showErrorMessage="1" error="Please enter a valid reading." sqref="D7:E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32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580</v>
      </c>
      <c r="B1" s="6" t="str">
        <f ca="1">MID(CELL("filename",A1),FIND("]",CELL("filename",A1))+1,256)</f>
        <v>EnergyFileUploadTestMeter</v>
      </c>
      <c r="C1" s="1"/>
      <c r="D1" s="6" t="str">
        <f ca="1">B1</f>
        <v>EnergyFileUploadTestMeter</v>
      </c>
      <c r="E1" s="1"/>
    </row>
    <row r="2" spans="1:5" x14ac:dyDescent="0.25">
      <c r="A2" s="6" t="s">
        <v>580</v>
      </c>
      <c r="B2" s="114" t="s">
        <v>568</v>
      </c>
      <c r="C2" s="104"/>
      <c r="D2" s="102" t="s">
        <v>676</v>
      </c>
      <c r="E2" s="1"/>
    </row>
    <row r="3" spans="1:5" x14ac:dyDescent="0.25">
      <c r="A3" s="6" t="s">
        <v>580</v>
      </c>
      <c r="B3" s="115" t="s">
        <v>669</v>
      </c>
      <c r="C3" s="105"/>
      <c r="D3" s="102" t="s">
        <v>648</v>
      </c>
      <c r="E3" s="1"/>
    </row>
    <row r="4" spans="1:5" x14ac:dyDescent="0.25">
      <c r="A4" s="6" t="s">
        <v>580</v>
      </c>
      <c r="B4" s="115" t="s">
        <v>569</v>
      </c>
      <c r="C4" s="105"/>
      <c r="D4" s="102" t="s">
        <v>533</v>
      </c>
      <c r="E4" s="1"/>
    </row>
    <row r="5" spans="1:5" x14ac:dyDescent="0.25">
      <c r="A5" s="6" t="s">
        <v>580</v>
      </c>
      <c r="B5" s="44" t="s">
        <v>666</v>
      </c>
      <c r="C5" s="106"/>
      <c r="D5" s="107"/>
      <c r="E5" s="1"/>
    </row>
    <row r="6" spans="1:5" ht="24" customHeight="1" x14ac:dyDescent="0.25">
      <c r="A6" s="6">
        <v>21</v>
      </c>
      <c r="B6" s="103" t="s">
        <v>547</v>
      </c>
      <c r="C6" s="103" t="s">
        <v>548</v>
      </c>
      <c r="D6" s="4" t="str">
        <f>CONCATENATE("Period Consumption 
","(",D4,")")</f>
        <v>Period Consumption 
(kWh)</v>
      </c>
      <c r="E6" s="1"/>
    </row>
    <row r="7" spans="1:5" x14ac:dyDescent="0.25">
      <c r="A7" s="7"/>
      <c r="B7" s="43">
        <v>43101</v>
      </c>
      <c r="C7" s="43">
        <v>43131</v>
      </c>
      <c r="D7" s="31">
        <v>100</v>
      </c>
      <c r="E7" s="1"/>
    </row>
    <row r="8" spans="1:5" x14ac:dyDescent="0.25">
      <c r="A8" s="7"/>
      <c r="B8" s="43">
        <v>43132</v>
      </c>
      <c r="C8" s="43">
        <v>43159</v>
      </c>
      <c r="D8" s="31">
        <v>200</v>
      </c>
      <c r="E8" s="1"/>
    </row>
    <row r="9" spans="1:5" x14ac:dyDescent="0.25">
      <c r="A9" s="7"/>
      <c r="B9" s="43">
        <v>43160</v>
      </c>
      <c r="C9" s="43">
        <v>43190</v>
      </c>
      <c r="D9" s="31">
        <v>300</v>
      </c>
      <c r="E9" s="1"/>
    </row>
    <row r="10" spans="1:5" x14ac:dyDescent="0.25">
      <c r="A10" s="7"/>
      <c r="B10" s="43">
        <v>43191</v>
      </c>
      <c r="C10" s="43">
        <v>43220</v>
      </c>
      <c r="D10" s="31">
        <v>200</v>
      </c>
      <c r="E10" s="1"/>
    </row>
    <row r="11" spans="1:5" x14ac:dyDescent="0.25">
      <c r="A11" s="7"/>
      <c r="B11" s="43">
        <v>43221</v>
      </c>
      <c r="C11" s="43">
        <v>43251</v>
      </c>
      <c r="D11" s="31">
        <v>300</v>
      </c>
      <c r="E11" s="1"/>
    </row>
    <row r="12" spans="1:5" x14ac:dyDescent="0.25">
      <c r="A12" s="7"/>
      <c r="B12" s="43">
        <v>43252</v>
      </c>
      <c r="C12" s="43">
        <v>43281</v>
      </c>
      <c r="D12" s="31">
        <v>200</v>
      </c>
      <c r="E12" s="1"/>
    </row>
    <row r="13" spans="1:5" x14ac:dyDescent="0.25">
      <c r="A13" s="7"/>
      <c r="B13" s="43">
        <v>43282</v>
      </c>
      <c r="C13" s="43">
        <v>43312</v>
      </c>
      <c r="D13" s="31">
        <v>300</v>
      </c>
      <c r="E13" s="1"/>
    </row>
    <row r="14" spans="1:5" x14ac:dyDescent="0.25">
      <c r="A14" s="7"/>
      <c r="B14" s="43">
        <v>43313</v>
      </c>
      <c r="C14" s="43">
        <v>43343</v>
      </c>
      <c r="D14" s="31">
        <v>200</v>
      </c>
      <c r="E14" s="1"/>
    </row>
    <row r="15" spans="1:5" x14ac:dyDescent="0.25">
      <c r="A15" s="7"/>
      <c r="B15" s="43">
        <v>43344</v>
      </c>
      <c r="C15" s="43">
        <v>43373</v>
      </c>
      <c r="D15" s="31">
        <v>200</v>
      </c>
      <c r="E15" s="1"/>
    </row>
    <row r="16" spans="1:5" x14ac:dyDescent="0.25">
      <c r="A16" s="7"/>
      <c r="B16" s="43">
        <v>43374</v>
      </c>
      <c r="C16" s="43">
        <v>43404</v>
      </c>
      <c r="D16" s="31">
        <v>100</v>
      </c>
      <c r="E16" s="1"/>
    </row>
    <row r="17" spans="1:10" x14ac:dyDescent="0.25">
      <c r="A17" s="7"/>
      <c r="B17" s="43">
        <v>43405</v>
      </c>
      <c r="C17" s="43">
        <v>43434</v>
      </c>
      <c r="D17" s="31">
        <v>200</v>
      </c>
      <c r="E17" s="1"/>
    </row>
    <row r="18" spans="1:10" x14ac:dyDescent="0.25">
      <c r="A18" s="7"/>
      <c r="B18" s="43">
        <v>43435</v>
      </c>
      <c r="C18" s="43">
        <v>43465</v>
      </c>
      <c r="D18" s="31">
        <v>222</v>
      </c>
      <c r="E18" s="1"/>
    </row>
    <row r="19" spans="1:10" ht="12.75" customHeight="1" x14ac:dyDescent="0.25">
      <c r="A19" s="28"/>
      <c r="B19" s="33"/>
      <c r="C19" s="33"/>
      <c r="D19" s="36"/>
      <c r="E19" s="1"/>
    </row>
    <row r="20" spans="1:10" ht="13.5" hidden="1" customHeight="1" x14ac:dyDescent="0.25">
      <c r="A20" s="6"/>
      <c r="B20" s="34"/>
      <c r="C20" s="34"/>
      <c r="D20" s="34"/>
      <c r="E20" s="1"/>
      <c r="J20" s="5" t="s">
        <v>648</v>
      </c>
    </row>
    <row r="21" spans="1:10" ht="25.5" customHeight="1" x14ac:dyDescent="0.25">
      <c r="A21" s="6" t="s">
        <v>549</v>
      </c>
      <c r="B21" s="34"/>
      <c r="C21" s="34"/>
      <c r="D21" s="34"/>
      <c r="E21" s="1"/>
      <c r="J21" s="5" t="s">
        <v>674</v>
      </c>
    </row>
    <row r="22" spans="1:10" x14ac:dyDescent="0.25">
      <c r="J22" s="5"/>
    </row>
    <row r="26" spans="1:10" x14ac:dyDescent="0.25">
      <c r="G26" s="3" t="s">
        <v>533</v>
      </c>
    </row>
    <row r="27" spans="1:10" x14ac:dyDescent="0.25">
      <c r="G27" s="3" t="s">
        <v>540</v>
      </c>
    </row>
    <row r="28" spans="1:10" x14ac:dyDescent="0.25">
      <c r="G28" s="3" t="s">
        <v>555</v>
      </c>
    </row>
    <row r="29" spans="1:10" x14ac:dyDescent="0.25">
      <c r="G29" s="3" t="s">
        <v>529</v>
      </c>
    </row>
    <row r="30" spans="1:10" x14ac:dyDescent="0.25">
      <c r="G30" s="3" t="s">
        <v>553</v>
      </c>
    </row>
    <row r="32" spans="1:10" x14ac:dyDescent="0.25">
      <c r="G32" s="3" t="s">
        <v>552</v>
      </c>
    </row>
  </sheetData>
  <sheetProtection algorithmName="SHA-512" hashValue="un5s6eKLVhhMBFhjysAqpkVBvJO7EugLPyrCjpj1LYbKgHGaKDzhoIjrlDP3xy1ad/W5hAXwO4m190YHzKYbrA==" saltValue="Z5tWD9bwOUpmAYLV4JwBEg==" spinCount="100000" sheet="1" objects="1" scenarios="1"/>
  <dataValidations count="6">
    <dataValidation type="textLength" allowBlank="1" showInputMessage="1" showErrorMessage="1" errorTitle=" Data Source" error="it can be accept 40 characters." sqref="D5">
      <formula1>0</formula1>
      <formula2>40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  <dataValidation allowBlank="1" showInputMessage="1" showErrorMessage="1" error="Please enter a valid date in mm/dd/yyyy format." sqref="B19:D21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9525</xdr:rowOff>
                  </from>
                  <to>
                    <xdr:col>2</xdr:col>
                    <xdr:colOff>0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20</xdr:row>
                    <xdr:rowOff>9525</xdr:rowOff>
                  </from>
                  <to>
                    <xdr:col>2</xdr:col>
                    <xdr:colOff>1304925</xdr:colOff>
                    <xdr:row>20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I50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16" sqref="B16:C18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580</v>
      </c>
      <c r="B1" s="6" t="str">
        <f ca="1">MID(CELL("filename",A1),FIND("]",CELL("filename",A1))+1,256)</f>
        <v>UploadWaterMeterTest</v>
      </c>
      <c r="C1" s="1"/>
      <c r="D1" s="6" t="str">
        <f ca="1">B1</f>
        <v>UploadWaterMeterTest</v>
      </c>
      <c r="E1" s="1"/>
    </row>
    <row r="2" spans="1:5" x14ac:dyDescent="0.25">
      <c r="A2" s="6" t="s">
        <v>580</v>
      </c>
      <c r="B2" s="114" t="s">
        <v>568</v>
      </c>
      <c r="C2" s="104"/>
      <c r="D2" s="102" t="s">
        <v>677</v>
      </c>
      <c r="E2" s="1"/>
    </row>
    <row r="3" spans="1:5" x14ac:dyDescent="0.25">
      <c r="A3" s="6" t="s">
        <v>580</v>
      </c>
      <c r="B3" s="115" t="s">
        <v>669</v>
      </c>
      <c r="C3" s="105"/>
      <c r="D3" s="102" t="s">
        <v>649</v>
      </c>
      <c r="E3" s="1"/>
    </row>
    <row r="4" spans="1:5" x14ac:dyDescent="0.25">
      <c r="A4" s="6" t="s">
        <v>580</v>
      </c>
      <c r="B4" s="115" t="s">
        <v>569</v>
      </c>
      <c r="C4" s="105"/>
      <c r="D4" s="102" t="s">
        <v>528</v>
      </c>
      <c r="E4" s="1"/>
    </row>
    <row r="5" spans="1:5" x14ac:dyDescent="0.25">
      <c r="A5" s="6" t="s">
        <v>580</v>
      </c>
      <c r="B5" s="44" t="s">
        <v>666</v>
      </c>
      <c r="C5" s="106"/>
      <c r="D5" s="98"/>
      <c r="E5" s="1"/>
    </row>
    <row r="6" spans="1:5" ht="24.75" customHeight="1" x14ac:dyDescent="0.25">
      <c r="A6" s="6">
        <v>21</v>
      </c>
      <c r="B6" s="103" t="s">
        <v>547</v>
      </c>
      <c r="C6" s="103" t="s">
        <v>548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43101</v>
      </c>
      <c r="C7" s="43">
        <v>43131</v>
      </c>
      <c r="D7" s="31">
        <v>100</v>
      </c>
      <c r="E7" s="1"/>
    </row>
    <row r="8" spans="1:5" x14ac:dyDescent="0.25">
      <c r="A8" s="6">
        <v>0</v>
      </c>
      <c r="B8" s="43">
        <v>43132</v>
      </c>
      <c r="C8" s="43">
        <v>43159</v>
      </c>
      <c r="D8" s="31">
        <v>200</v>
      </c>
      <c r="E8" s="1"/>
    </row>
    <row r="9" spans="1:5" x14ac:dyDescent="0.25">
      <c r="A9" s="6"/>
      <c r="B9" s="43">
        <v>43160</v>
      </c>
      <c r="C9" s="43">
        <v>43190</v>
      </c>
      <c r="D9" s="31">
        <v>300</v>
      </c>
      <c r="E9" s="1"/>
    </row>
    <row r="10" spans="1:5" x14ac:dyDescent="0.25">
      <c r="A10" s="6"/>
      <c r="B10" s="43">
        <v>43191</v>
      </c>
      <c r="C10" s="43">
        <v>43220</v>
      </c>
      <c r="D10" s="31">
        <v>100</v>
      </c>
      <c r="E10" s="1"/>
    </row>
    <row r="11" spans="1:5" x14ac:dyDescent="0.25">
      <c r="A11" s="6"/>
      <c r="B11" s="43">
        <v>43221</v>
      </c>
      <c r="C11" s="43">
        <v>43251</v>
      </c>
      <c r="D11" s="31">
        <v>200</v>
      </c>
      <c r="E11" s="1"/>
    </row>
    <row r="12" spans="1:5" x14ac:dyDescent="0.25">
      <c r="A12" s="6"/>
      <c r="B12" s="43">
        <v>43252</v>
      </c>
      <c r="C12" s="43">
        <v>43281</v>
      </c>
      <c r="D12" s="31">
        <v>300</v>
      </c>
      <c r="E12" s="1"/>
    </row>
    <row r="13" spans="1:5" x14ac:dyDescent="0.25">
      <c r="A13" s="6"/>
      <c r="B13" s="43">
        <v>43282</v>
      </c>
      <c r="C13" s="43">
        <v>43312</v>
      </c>
      <c r="D13" s="31">
        <v>100</v>
      </c>
      <c r="E13" s="1"/>
    </row>
    <row r="14" spans="1:5" x14ac:dyDescent="0.25">
      <c r="A14" s="6"/>
      <c r="B14" s="43">
        <v>43313</v>
      </c>
      <c r="C14" s="43">
        <v>43343</v>
      </c>
      <c r="D14" s="31">
        <v>200</v>
      </c>
      <c r="E14" s="1"/>
    </row>
    <row r="15" spans="1:5" x14ac:dyDescent="0.25">
      <c r="A15" s="6"/>
      <c r="B15" s="43">
        <v>43344</v>
      </c>
      <c r="C15" s="43">
        <v>43373</v>
      </c>
      <c r="D15" s="31">
        <v>300</v>
      </c>
      <c r="E15" s="1"/>
    </row>
    <row r="16" spans="1:5" x14ac:dyDescent="0.25">
      <c r="A16" s="6"/>
      <c r="B16" s="43">
        <v>43374</v>
      </c>
      <c r="C16" s="43">
        <v>43404</v>
      </c>
      <c r="D16" s="31">
        <v>100</v>
      </c>
      <c r="E16" s="1"/>
    </row>
    <row r="17" spans="1:9" x14ac:dyDescent="0.25">
      <c r="A17" s="6"/>
      <c r="B17" s="43">
        <v>43405</v>
      </c>
      <c r="C17" s="43">
        <v>43434</v>
      </c>
      <c r="D17" s="31">
        <v>200</v>
      </c>
      <c r="E17" s="1"/>
    </row>
    <row r="18" spans="1:9" x14ac:dyDescent="0.25">
      <c r="A18" s="6"/>
      <c r="B18" s="43">
        <v>43435</v>
      </c>
      <c r="C18" s="43">
        <v>43465</v>
      </c>
      <c r="D18" s="31">
        <v>300</v>
      </c>
      <c r="E18" s="1"/>
    </row>
    <row r="19" spans="1:9" x14ac:dyDescent="0.25">
      <c r="A19" s="28"/>
      <c r="B19" s="33"/>
      <c r="C19" s="33"/>
      <c r="D19" s="36"/>
      <c r="E19" s="21"/>
    </row>
    <row r="20" spans="1:9" ht="6" customHeight="1" x14ac:dyDescent="0.25">
      <c r="A20" s="28"/>
      <c r="B20" s="33"/>
      <c r="C20" s="33"/>
      <c r="D20" s="36"/>
      <c r="E20" s="21"/>
      <c r="I20" s="5" t="s">
        <v>649</v>
      </c>
    </row>
    <row r="21" spans="1:9" ht="25.5" customHeight="1" x14ac:dyDescent="0.25">
      <c r="A21" s="6" t="s">
        <v>549</v>
      </c>
      <c r="B21" s="34"/>
      <c r="C21" s="34"/>
      <c r="D21" s="34"/>
      <c r="E21" s="1"/>
      <c r="I21" s="5" t="s">
        <v>650</v>
      </c>
    </row>
    <row r="22" spans="1:9" x14ac:dyDescent="0.25">
      <c r="I22" s="5" t="s">
        <v>651</v>
      </c>
    </row>
    <row r="26" spans="1:9" x14ac:dyDescent="0.25">
      <c r="H26" s="5" t="s">
        <v>528</v>
      </c>
    </row>
    <row r="27" spans="1:9" x14ac:dyDescent="0.25">
      <c r="H27" s="5" t="s">
        <v>531</v>
      </c>
    </row>
    <row r="28" spans="1:9" x14ac:dyDescent="0.25">
      <c r="H28" s="5" t="s">
        <v>550</v>
      </c>
    </row>
    <row r="29" spans="1:9" x14ac:dyDescent="0.25">
      <c r="H29" s="5" t="s">
        <v>551</v>
      </c>
    </row>
    <row r="30" spans="1:9" x14ac:dyDescent="0.25">
      <c r="H30" s="5" t="s">
        <v>525</v>
      </c>
    </row>
    <row r="31" spans="1:9" x14ac:dyDescent="0.25">
      <c r="H31" s="5" t="s">
        <v>530</v>
      </c>
    </row>
    <row r="32" spans="1:9" x14ac:dyDescent="0.25">
      <c r="H32" s="5" t="s">
        <v>545</v>
      </c>
    </row>
    <row r="33" spans="8:8" x14ac:dyDescent="0.25">
      <c r="H33" s="5" t="s">
        <v>564</v>
      </c>
    </row>
    <row r="34" spans="8:8" x14ac:dyDescent="0.25">
      <c r="H34" s="5" t="s">
        <v>527</v>
      </c>
    </row>
    <row r="35" spans="8:8" x14ac:dyDescent="0.25">
      <c r="H35" s="3" t="s">
        <v>546</v>
      </c>
    </row>
    <row r="36" spans="8:8" x14ac:dyDescent="0.25">
      <c r="H36" s="3" t="s">
        <v>565</v>
      </c>
    </row>
    <row r="37" spans="8:8" x14ac:dyDescent="0.25">
      <c r="H37" s="3" t="s">
        <v>566</v>
      </c>
    </row>
    <row r="38" spans="8:8" x14ac:dyDescent="0.25">
      <c r="H38" s="5" t="s">
        <v>652</v>
      </c>
    </row>
    <row r="39" spans="8:8" x14ac:dyDescent="0.25">
      <c r="H39" s="5" t="s">
        <v>653</v>
      </c>
    </row>
    <row r="40" spans="8:8" x14ac:dyDescent="0.25">
      <c r="H40" s="5" t="s">
        <v>647</v>
      </c>
    </row>
    <row r="41" spans="8:8" x14ac:dyDescent="0.25">
      <c r="H41" s="5"/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</sheetData>
  <sheetProtection algorithmName="SHA-512" hashValue="5VU1sCCmSbCdih07JGmV3lxl1je6J5eBFSO5vFv6xajHqrKZSeuu0abtuSw5y2Vu/fKAQDNAPTmj0Qhx3ZM21g==" saltValue="ZqWQdOOuTP5ydVRzMJRDVQ==" spinCount="100000" sheet="1" objects="1" scenarios="1"/>
  <dataValidations count="6">
    <dataValidation type="textLength" allowBlank="1" showInputMessage="1" showErrorMessage="1" errorTitle=" Data Source" error="it can be accept 40 characters." sqref="D5">
      <formula1>0</formula1>
      <formula2>40</formula2>
    </dataValidation>
    <dataValidation type="decimal" allowBlank="1" showInputMessage="1" showErrorMessage="1" error="Please enter a valid reading." sqref="D7:D18">
      <formula1>0</formula1>
      <formula2>9999999999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  <dataValidation allowBlank="1" showInputMessage="1" showErrorMessage="1" error="Please enter a valid date in mm/dd/yyyy format." sqref="B19:D21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19</xdr:row>
                    <xdr:rowOff>0</xdr:rowOff>
                  </from>
                  <to>
                    <xdr:col>2</xdr:col>
                    <xdr:colOff>1295400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EnergyFileUploadTestMeter</vt:lpstr>
      <vt:lpstr>UploadWaterMeterTest</vt:lpstr>
      <vt:lpstr>base_summary</vt:lpstr>
      <vt:lpstr>Countries</vt:lpstr>
      <vt:lpstr>CountriesDetails</vt:lpstr>
      <vt:lpstr>countryName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UploadWaterMeterTest!water_meter_type</vt:lpstr>
      <vt:lpstr>water_meter_type</vt:lpstr>
      <vt:lpstr>UploadWaterMeterTest!water_type</vt:lpstr>
      <vt:lpstr>water_type</vt:lpstr>
      <vt:lpstr>UploadWaterMeterTest!water_units</vt:lpstr>
      <vt:lpstr>water_units</vt:lpstr>
      <vt:lpstr>UploadWaterMeterTest!WaterDrp</vt:lpstr>
      <vt:lpstr>WaterDrp</vt:lpstr>
      <vt:lpstr>UploadWaterMeterTest!waterType</vt:lpstr>
      <vt:lpstr>waterType</vt:lpstr>
      <vt:lpstr>UploadWaterMeterTest!waterUnits</vt:lpstr>
      <vt:lpstr>waterUnits</vt:lpstr>
      <vt:lpstr>UploadWaterMeterTest!watUn</vt:lpstr>
      <vt:lpstr>watUn</vt:lpstr>
      <vt:lpstr>UploadWaterMeterTest!watUni</vt:lpstr>
      <vt:lpstr>watUni</vt:lpstr>
      <vt:lpstr>waUn</vt:lpstr>
      <vt:lpstr>waunit</vt:lpstr>
      <vt:lpstr>Wood</vt:lpstr>
      <vt:lpstr>woods</vt:lpstr>
      <vt:lpstr>woodunit</vt:lpstr>
      <vt:lpstr>UploadWaterMeterTest!zep</vt:lpstr>
      <vt:lpstr>zep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2019-01-03T10:19:41Z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